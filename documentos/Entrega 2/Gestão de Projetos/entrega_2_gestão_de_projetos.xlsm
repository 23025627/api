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 codeName="{499AFE36-ED4D-9D94-70EF-1DFAAA4259C6}"/>
  <workbookPr/>
  <mc:AlternateContent xmlns:mc="http://schemas.openxmlformats.org/markup-compatibility/2006">
    <mc:Choice Requires="x15">
      <x15ac:absPath xmlns:x15ac="http://schemas.microsoft.com/office/spreadsheetml/2010/11/ac" url="C:\Users\fabri\Documents\GitHub\Projeto2\documentos\Entrega 2\Gestão de Projetos\"/>
    </mc:Choice>
  </mc:AlternateContent>
  <xr:revisionPtr revIDLastSave="0" documentId="8_{A6E5D235-5954-411F-9E6A-8AFD1FCAEC80}" xr6:coauthVersionLast="47" xr6:coauthVersionMax="47" xr10:uidLastSave="{00000000-0000-0000-0000-000000000000}"/>
  <bookViews>
    <workbookView xWindow="-108" yWindow="-108" windowWidth="23256" windowHeight="12456" xr2:uid="{00000000-000D-0000-FFFF-FFFF00000000}"/>
  </bookViews>
  <sheets>
    <sheet name="Proposta" sheetId="1" r:id="rId1"/>
    <sheet name="Diagrama de rede-precedência" sheetId="3" r:id="rId2"/>
    <sheet name="Fluxo de Caixa Previsto" sheetId="4" r:id="rId3"/>
    <sheet name="Fluxo de Caixa Realizado" sheetId="5" r:id="rId4"/>
    <sheet name="Status" sheetId="6" r:id="rId5"/>
    <sheet name="Capa" sheetId="7" r:id="rId6"/>
    <sheet name="Identificar" sheetId="8" r:id="rId7"/>
    <sheet name="Qualificar" sheetId="9" r:id="rId8"/>
    <sheet name="Quantificar" sheetId="10" r:id="rId9"/>
    <sheet name="Histórico de evolução(não)" sheetId="11" r:id="rId10"/>
    <sheet name="Sensibilidade ao Risco" sheetId="12" r:id="rId11"/>
  </sheets>
  <externalReferences>
    <externalReference r:id="rId12"/>
  </externalReferences>
  <definedNames>
    <definedName name="_xlnm._FilterDatabase" localSheetId="9" hidden="1">'Histórico de evolução(não)'!$A$2:$H$2</definedName>
    <definedName name="_xlnm._FilterDatabase" localSheetId="6" hidden="1">Identificar!$A$6:$J$15</definedName>
    <definedName name="_xlnm._FilterDatabase" localSheetId="7" hidden="1">Qualificar!$A$6:$K$15</definedName>
    <definedName name="_xlnm._FilterDatabase" localSheetId="8" hidden="1">Quantificar!$A$6:$E$15</definedName>
    <definedName name="_xlnm.Print_Area" localSheetId="6">Identificar!$A$1:$L$15</definedName>
    <definedName name="_xlnm.Print_Area" localSheetId="7">Qualificar!$A$1:$K$11</definedName>
    <definedName name="_xlnm.Print_Area" localSheetId="8">Quantificar!$A$1:$E$11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2" i="12" l="1"/>
  <c r="E3" i="12"/>
  <c r="E4" i="12"/>
  <c r="E5" i="12"/>
  <c r="E6" i="12"/>
  <c r="E8" i="12"/>
  <c r="E9" i="12"/>
  <c r="E10" i="12"/>
  <c r="E11" i="12"/>
  <c r="E12" i="12"/>
  <c r="E14" i="12"/>
  <c r="E15" i="12"/>
  <c r="E16" i="12"/>
  <c r="E17" i="12"/>
  <c r="E18" i="12"/>
  <c r="E20" i="12"/>
  <c r="E21" i="12"/>
  <c r="E22" i="12"/>
  <c r="E23" i="12"/>
  <c r="E24" i="12"/>
  <c r="E26" i="12"/>
  <c r="E27" i="12"/>
  <c r="E28" i="12"/>
  <c r="E29" i="12"/>
  <c r="E30" i="12"/>
  <c r="A8" i="10"/>
  <c r="B8" i="10"/>
  <c r="C8" i="10"/>
  <c r="D8" i="10"/>
  <c r="E8" i="10"/>
  <c r="J8" i="10"/>
  <c r="K8" i="10"/>
  <c r="A9" i="10"/>
  <c r="B9" i="10"/>
  <c r="C9" i="10"/>
  <c r="D9" i="10"/>
  <c r="E9" i="10"/>
  <c r="J9" i="10"/>
  <c r="K9" i="10"/>
  <c r="A10" i="10"/>
  <c r="B10" i="10"/>
  <c r="C10" i="10"/>
  <c r="D10" i="10"/>
  <c r="E10" i="10"/>
  <c r="J10" i="10"/>
  <c r="K10" i="10"/>
  <c r="A11" i="10"/>
  <c r="B11" i="10"/>
  <c r="C11" i="10"/>
  <c r="D11" i="10"/>
  <c r="E11" i="10"/>
  <c r="J11" i="10"/>
  <c r="K11" i="10"/>
  <c r="A12" i="10"/>
  <c r="B12" i="10"/>
  <c r="C12" i="10"/>
  <c r="D12" i="10"/>
  <c r="E12" i="10"/>
  <c r="J12" i="10"/>
  <c r="K12" i="10"/>
  <c r="A13" i="10"/>
  <c r="B13" i="10"/>
  <c r="C13" i="10"/>
  <c r="D13" i="10"/>
  <c r="E13" i="10"/>
  <c r="J13" i="10"/>
  <c r="K13" i="10"/>
  <c r="A14" i="10"/>
  <c r="B14" i="10"/>
  <c r="C14" i="10"/>
  <c r="D14" i="10"/>
  <c r="E14" i="10"/>
  <c r="J14" i="10"/>
  <c r="K14" i="10"/>
  <c r="A15" i="10"/>
  <c r="B15" i="10"/>
  <c r="C15" i="10"/>
  <c r="D15" i="10"/>
  <c r="E15" i="10"/>
  <c r="J15" i="10"/>
  <c r="K15" i="10"/>
  <c r="A8" i="9"/>
  <c r="B8" i="9"/>
  <c r="C8" i="9"/>
  <c r="D8" i="9"/>
  <c r="E8" i="9"/>
  <c r="I8" i="9"/>
  <c r="J8" i="9" s="1"/>
  <c r="K8" i="9" s="1"/>
  <c r="L8" i="8" s="1"/>
  <c r="M8" i="9"/>
  <c r="N8" i="9"/>
  <c r="A9" i="9"/>
  <c r="B9" i="9"/>
  <c r="C9" i="9"/>
  <c r="D9" i="9"/>
  <c r="E9" i="9"/>
  <c r="I9" i="9"/>
  <c r="J9" i="9" s="1"/>
  <c r="K9" i="9" s="1"/>
  <c r="L9" i="8" s="1"/>
  <c r="M9" i="9"/>
  <c r="N9" i="9"/>
  <c r="A10" i="9"/>
  <c r="B10" i="9"/>
  <c r="C10" i="9"/>
  <c r="D10" i="9"/>
  <c r="E10" i="9"/>
  <c r="I10" i="9"/>
  <c r="J10" i="9"/>
  <c r="K10" i="9" s="1"/>
  <c r="L10" i="8" s="1"/>
  <c r="M10" i="9"/>
  <c r="N10" i="9"/>
  <c r="A11" i="9"/>
  <c r="B11" i="9"/>
  <c r="C11" i="9"/>
  <c r="D11" i="9"/>
  <c r="E11" i="9"/>
  <c r="I11" i="9"/>
  <c r="J11" i="9" s="1"/>
  <c r="K11" i="9" s="1"/>
  <c r="L11" i="8" s="1"/>
  <c r="M11" i="9"/>
  <c r="N11" i="9"/>
  <c r="A12" i="9"/>
  <c r="B12" i="9"/>
  <c r="C12" i="9"/>
  <c r="D12" i="9"/>
  <c r="E12" i="9"/>
  <c r="I12" i="9"/>
  <c r="J12" i="9" s="1"/>
  <c r="K12" i="9" s="1"/>
  <c r="L12" i="8" s="1"/>
  <c r="M12" i="9"/>
  <c r="N12" i="9"/>
  <c r="A13" i="9"/>
  <c r="B13" i="9"/>
  <c r="C13" i="9"/>
  <c r="D13" i="9"/>
  <c r="E13" i="9"/>
  <c r="I13" i="9"/>
  <c r="J13" i="9" s="1"/>
  <c r="K13" i="9" s="1"/>
  <c r="L13" i="8" s="1"/>
  <c r="M13" i="9"/>
  <c r="N13" i="9"/>
  <c r="A14" i="9"/>
  <c r="B14" i="9"/>
  <c r="C14" i="9"/>
  <c r="D14" i="9"/>
  <c r="E14" i="9"/>
  <c r="I14" i="9"/>
  <c r="J14" i="9"/>
  <c r="K14" i="9" s="1"/>
  <c r="L14" i="8" s="1"/>
  <c r="M14" i="9"/>
  <c r="N14" i="9"/>
  <c r="A15" i="9"/>
  <c r="B15" i="9"/>
  <c r="C15" i="9"/>
  <c r="D15" i="9"/>
  <c r="E15" i="9"/>
  <c r="I15" i="9"/>
  <c r="J15" i="9" s="1"/>
  <c r="K15" i="9" s="1"/>
  <c r="L15" i="8" s="1"/>
  <c r="M15" i="9"/>
  <c r="N15" i="9"/>
  <c r="A4" i="8"/>
  <c r="A4" i="10" s="1"/>
  <c r="B6" i="6"/>
  <c r="B7" i="6" s="1"/>
  <c r="B8" i="6" s="1"/>
  <c r="C6" i="6"/>
  <c r="C7" i="6"/>
  <c r="D8" i="6"/>
  <c r="F8" i="5"/>
  <c r="K8" i="5"/>
  <c r="L8" i="5" s="1"/>
  <c r="F9" i="5"/>
  <c r="L9" i="5"/>
  <c r="Q9" i="5"/>
  <c r="F10" i="5"/>
  <c r="L10" i="5"/>
  <c r="Q10" i="5"/>
  <c r="F11" i="5"/>
  <c r="L11" i="5"/>
  <c r="Q11" i="5"/>
  <c r="F12" i="5"/>
  <c r="L12" i="5"/>
  <c r="Q12" i="5"/>
  <c r="F13" i="5"/>
  <c r="K13" i="5"/>
  <c r="L13" i="5"/>
  <c r="Q13" i="5"/>
  <c r="F14" i="5"/>
  <c r="L14" i="5"/>
  <c r="M14" i="5" s="1"/>
  <c r="Q14" i="5" s="1"/>
  <c r="F15" i="5"/>
  <c r="L15" i="5"/>
  <c r="Q15" i="5"/>
  <c r="F16" i="5"/>
  <c r="L16" i="5"/>
  <c r="Q16" i="5"/>
  <c r="F17" i="5"/>
  <c r="K17" i="5"/>
  <c r="L17" i="5"/>
  <c r="Q17" i="5"/>
  <c r="F18" i="5"/>
  <c r="K18" i="5"/>
  <c r="L18" i="5"/>
  <c r="Q18" i="5"/>
  <c r="N19" i="5"/>
  <c r="D6" i="6" s="1"/>
  <c r="O19" i="5"/>
  <c r="O21" i="5" s="1"/>
  <c r="P19" i="5"/>
  <c r="P21" i="5" s="1"/>
  <c r="M20" i="5"/>
  <c r="N20" i="5"/>
  <c r="O20" i="5"/>
  <c r="P20" i="5"/>
  <c r="Q20" i="5"/>
  <c r="F8" i="4"/>
  <c r="K8" i="4"/>
  <c r="L8" i="4"/>
  <c r="M8" i="4"/>
  <c r="Q8" i="4" s="1"/>
  <c r="Q19" i="4" s="1"/>
  <c r="Q21" i="4" s="1"/>
  <c r="F9" i="4"/>
  <c r="L9" i="4"/>
  <c r="Q9" i="4"/>
  <c r="F10" i="4"/>
  <c r="L10" i="4"/>
  <c r="Q10" i="4"/>
  <c r="F11" i="4"/>
  <c r="L11" i="4"/>
  <c r="Q11" i="4"/>
  <c r="F12" i="4"/>
  <c r="L12" i="4"/>
  <c r="Q12" i="4"/>
  <c r="F13" i="4"/>
  <c r="K13" i="4"/>
  <c r="L13" i="4"/>
  <c r="Q13" i="4"/>
  <c r="F14" i="4"/>
  <c r="L14" i="4"/>
  <c r="M14" i="4" s="1"/>
  <c r="Q14" i="4" s="1"/>
  <c r="F15" i="4"/>
  <c r="L15" i="4"/>
  <c r="Q15" i="4"/>
  <c r="F16" i="4"/>
  <c r="L16" i="4"/>
  <c r="Q16" i="4"/>
  <c r="F17" i="4"/>
  <c r="K17" i="4"/>
  <c r="L17" i="4"/>
  <c r="Q17" i="4"/>
  <c r="F18" i="4"/>
  <c r="K18" i="4"/>
  <c r="L18" i="4"/>
  <c r="Q18" i="4"/>
  <c r="N19" i="4"/>
  <c r="O19" i="4"/>
  <c r="P19" i="4"/>
  <c r="P21" i="4" s="1"/>
  <c r="M20" i="4"/>
  <c r="N20" i="4"/>
  <c r="O20" i="4"/>
  <c r="P20" i="4"/>
  <c r="Q20" i="4"/>
  <c r="N21" i="4"/>
  <c r="O21" i="4"/>
  <c r="G11" i="3"/>
  <c r="A4" i="9" l="1"/>
  <c r="C8" i="6"/>
  <c r="D7" i="6"/>
  <c r="M19" i="4"/>
  <c r="C5" i="6" s="1"/>
  <c r="M8" i="5"/>
  <c r="N21" i="5"/>
  <c r="I11" i="3"/>
  <c r="J11" i="3" s="1"/>
  <c r="I19" i="3"/>
  <c r="M21" i="4" l="1"/>
  <c r="Q8" i="5"/>
  <c r="Q19" i="5" s="1"/>
  <c r="Q21" i="5" s="1"/>
  <c r="M19" i="5"/>
  <c r="D5" i="6" s="1"/>
  <c r="E5" i="6"/>
  <c r="C9" i="6"/>
  <c r="J19" i="3"/>
  <c r="I38" i="3"/>
  <c r="L30" i="3"/>
  <c r="M30" i="3"/>
  <c r="L24" i="3"/>
  <c r="J38" i="3"/>
  <c r="O14" i="3"/>
  <c r="P14" i="3" s="1"/>
  <c r="L9" i="3"/>
  <c r="M9" i="3" s="1"/>
  <c r="O4" i="3" s="1"/>
  <c r="P4" i="3" s="1"/>
  <c r="G17" i="3"/>
  <c r="G23" i="3"/>
  <c r="F5" i="6" l="1"/>
  <c r="D9" i="6"/>
  <c r="C10" i="6" s="1"/>
  <c r="E6" i="6"/>
  <c r="E7" i="6" s="1"/>
  <c r="E8" i="6" s="1"/>
  <c r="H5" i="6"/>
  <c r="M21" i="5"/>
  <c r="M24" i="3"/>
  <c r="O9" i="3"/>
  <c r="L36" i="3"/>
  <c r="M36" i="3" s="1"/>
  <c r="R31" i="3"/>
  <c r="S31" i="3" s="1"/>
  <c r="O43" i="3"/>
  <c r="P43" i="3" s="1"/>
  <c r="G29" i="3"/>
  <c r="F6" i="6" l="1"/>
  <c r="G5" i="6"/>
  <c r="P9" i="3"/>
  <c r="R19" i="3"/>
  <c r="R25" i="3"/>
  <c r="S25" i="3" s="1"/>
  <c r="I51" i="3"/>
  <c r="J51" i="3" s="1"/>
  <c r="R37" i="3"/>
  <c r="S37" i="3" s="1"/>
  <c r="X4" i="3"/>
  <c r="F7" i="6" l="1"/>
  <c r="G6" i="6"/>
  <c r="H6" i="6"/>
  <c r="P10" i="3"/>
  <c r="O10" i="3" s="1"/>
  <c r="O11" i="3" s="1"/>
  <c r="V9" i="3"/>
  <c r="P11" i="3"/>
  <c r="X3" i="3"/>
  <c r="Y3" i="3"/>
  <c r="Y5" i="3" s="1"/>
  <c r="X5" i="3"/>
  <c r="S19" i="3"/>
  <c r="X42" i="3"/>
  <c r="Y42" i="3" s="1"/>
  <c r="P6" i="3"/>
  <c r="O5" i="3"/>
  <c r="M10" i="3" s="1"/>
  <c r="F8" i="6" l="1"/>
  <c r="G7" i="6"/>
  <c r="H7" i="6"/>
  <c r="U25" i="3"/>
  <c r="V25" i="3" s="1"/>
  <c r="Y33" i="3" s="1"/>
  <c r="Z33" i="3" s="1"/>
  <c r="AA25" i="3" s="1"/>
  <c r="AB25" i="3" s="1"/>
  <c r="U19" i="3"/>
  <c r="U8" i="3"/>
  <c r="V8" i="3" s="1"/>
  <c r="V10" i="3" s="1"/>
  <c r="U13" i="3"/>
  <c r="V13" i="3" s="1"/>
  <c r="O6" i="3"/>
  <c r="U9" i="3"/>
  <c r="G8" i="6" l="1"/>
  <c r="H8" i="6"/>
  <c r="U10" i="3"/>
  <c r="V19" i="3"/>
  <c r="AD32" i="3"/>
  <c r="X19" i="3" l="1"/>
  <c r="AE32" i="3"/>
  <c r="AE41" i="3" s="1"/>
  <c r="AI46" i="3"/>
  <c r="AJ46" i="3" s="1"/>
  <c r="AJ47" i="3" s="1"/>
  <c r="AI47" i="3" s="1"/>
  <c r="Y19" i="3" l="1"/>
  <c r="Y21" i="3" s="1"/>
  <c r="AF41" i="3"/>
  <c r="AL37" i="3"/>
  <c r="AM37" i="3" s="1"/>
  <c r="AM38" i="3" s="1"/>
  <c r="AF42" i="3" s="1"/>
  <c r="AF43" i="3" l="1"/>
  <c r="AM39" i="3"/>
  <c r="AL38" i="3"/>
  <c r="AJ48" i="3"/>
  <c r="AI48" i="3" l="1"/>
  <c r="AL39" i="3"/>
  <c r="Y44" i="3" l="1"/>
  <c r="X43" i="3"/>
  <c r="AE42" i="3"/>
  <c r="AE33" i="3" l="1"/>
  <c r="AE34" i="3" s="1"/>
  <c r="AE43" i="3"/>
  <c r="X44" i="3"/>
  <c r="AD33" i="3" l="1"/>
  <c r="AD34" i="3" l="1"/>
  <c r="AB26" i="3"/>
  <c r="F30" i="3" l="1"/>
  <c r="G31" i="3"/>
  <c r="AA26" i="3"/>
  <c r="AB27" i="3"/>
  <c r="AA27" i="3" l="1"/>
  <c r="Z34" i="3"/>
  <c r="F31" i="3"/>
  <c r="V20" i="3"/>
  <c r="V21" i="3" s="1"/>
  <c r="U20" i="3" l="1"/>
  <c r="U21" i="3" s="1"/>
  <c r="X20" i="3"/>
  <c r="X21" i="3" s="1"/>
  <c r="Y34" i="3"/>
  <c r="Z35" i="3"/>
  <c r="Y35" i="3" l="1"/>
  <c r="V26" i="3"/>
  <c r="P44" i="3"/>
  <c r="J52" i="3"/>
  <c r="U14" i="3"/>
  <c r="V15" i="3"/>
  <c r="I52" i="3" l="1"/>
  <c r="I53" i="3" s="1"/>
  <c r="J53" i="3"/>
  <c r="U15" i="3"/>
  <c r="P45" i="3" l="1"/>
  <c r="O44" i="3"/>
  <c r="U26" i="3"/>
  <c r="V27" i="3"/>
  <c r="S26" i="3" l="1"/>
  <c r="S20" i="3"/>
  <c r="U27" i="3"/>
  <c r="O45" i="3"/>
  <c r="R20" i="3" l="1"/>
  <c r="S21" i="3"/>
  <c r="S27" i="3"/>
  <c r="R26" i="3"/>
  <c r="R27" i="3" s="1"/>
  <c r="O15" i="3"/>
  <c r="O16" i="3" s="1"/>
  <c r="P16" i="3"/>
  <c r="F24" i="3"/>
  <c r="G25" i="3"/>
  <c r="G19" i="3"/>
  <c r="F18" i="3"/>
  <c r="M25" i="3" l="1"/>
  <c r="R21" i="3"/>
  <c r="F19" i="3"/>
  <c r="F25" i="3"/>
  <c r="M26" i="3" l="1"/>
  <c r="L25" i="3"/>
  <c r="S39" i="3"/>
  <c r="R38" i="3"/>
  <c r="J40" i="3"/>
  <c r="I39" i="3"/>
  <c r="I40" i="3" s="1"/>
  <c r="S33" i="3"/>
  <c r="R32" i="3"/>
  <c r="R33" i="3" l="1"/>
  <c r="L26" i="3"/>
  <c r="R39" i="3"/>
  <c r="M37" i="3"/>
  <c r="M38" i="3" l="1"/>
  <c r="L37" i="3"/>
  <c r="M31" i="3" l="1"/>
  <c r="L38" i="3"/>
  <c r="M32" i="3" l="1"/>
  <c r="L31" i="3"/>
  <c r="M11" i="3"/>
  <c r="L10" i="3"/>
  <c r="J12" i="3" s="1"/>
  <c r="L32" i="3" l="1"/>
  <c r="J20" i="3"/>
  <c r="L11" i="3"/>
  <c r="J21" i="3" l="1"/>
  <c r="I20" i="3"/>
  <c r="I21" i="3" s="1"/>
  <c r="I12" i="3"/>
  <c r="J13" i="3"/>
  <c r="I13" i="3" l="1"/>
  <c r="G12" i="3"/>
  <c r="G13" i="3" l="1"/>
  <c r="F12" i="3"/>
  <c r="F13" i="3" s="1"/>
</calcChain>
</file>

<file path=xl/sharedStrings.xml><?xml version="1.0" encoding="utf-8"?>
<sst xmlns="http://schemas.openxmlformats.org/spreadsheetml/2006/main" count="749" uniqueCount="364">
  <si>
    <t>Descrição</t>
  </si>
  <si>
    <t>ID Tarefa WBS</t>
  </si>
  <si>
    <t>Atividade</t>
  </si>
  <si>
    <t>Data Início</t>
  </si>
  <si>
    <t>Data Fim</t>
  </si>
  <si>
    <t>Duração (Dias)</t>
  </si>
  <si>
    <t>DEFINIÇÃO DE OBJETIVOS DO SITE</t>
  </si>
  <si>
    <t>1.1</t>
  </si>
  <si>
    <t>A</t>
  </si>
  <si>
    <t>FORMAÇÃO DA EQUIPE DE DESIGN E DESENVOLVIMENTO</t>
  </si>
  <si>
    <t>1.2</t>
  </si>
  <si>
    <t>B</t>
  </si>
  <si>
    <t>IDENTIFICAÇÃO DE FUNCIONALIDADES E RECURSOS</t>
  </si>
  <si>
    <t>1.3</t>
  </si>
  <si>
    <t>C</t>
  </si>
  <si>
    <t>DEFINIÇÃO DO BANCO DE DADOS</t>
  </si>
  <si>
    <t>2.2.1</t>
  </si>
  <si>
    <t>D</t>
  </si>
  <si>
    <t>INTEGRAÇÕES</t>
  </si>
  <si>
    <t>2.2.2</t>
  </si>
  <si>
    <t>E</t>
  </si>
  <si>
    <t>CRIAÇÃO DE CRONOGRAMAS E METAS</t>
  </si>
  <si>
    <t>2.2.3</t>
  </si>
  <si>
    <t>F</t>
  </si>
  <si>
    <t>NAVEGAÇÃO E FUNCIONALIDADES</t>
  </si>
  <si>
    <t>3.1.1</t>
  </si>
  <si>
    <t>G</t>
  </si>
  <si>
    <t>PROTÓTIPOS INTERATIVOS</t>
  </si>
  <si>
    <t>3.1.2</t>
  </si>
  <si>
    <t>H</t>
  </si>
  <si>
    <t>TESTAR A UI/UX</t>
  </si>
  <si>
    <t>3.1.3</t>
  </si>
  <si>
    <t>I</t>
  </si>
  <si>
    <t>ESTILIZAR PÁGINAS</t>
  </si>
  <si>
    <t>4.1.1.1</t>
  </si>
  <si>
    <t>J</t>
  </si>
  <si>
    <t>CRIAÇÃO DO BANCO DE DADOS</t>
  </si>
  <si>
    <t>4.1.2.1</t>
  </si>
  <si>
    <t>K</t>
  </si>
  <si>
    <t>DESENVOLVIMENTO DAS API'S</t>
  </si>
  <si>
    <t>4.1.2.2</t>
  </si>
  <si>
    <t>L</t>
  </si>
  <si>
    <t>IMPLEMENTAR IA</t>
  </si>
  <si>
    <t>4.1.2.3</t>
  </si>
  <si>
    <t>M</t>
  </si>
  <si>
    <t>CRIAÇÃO DO SERVIDOR</t>
  </si>
  <si>
    <t>4.1.2.4</t>
  </si>
  <si>
    <t>N</t>
  </si>
  <si>
    <t>CRIAÇÃO DE CRIPTOGRAFIA</t>
  </si>
  <si>
    <t>4.1.2.5</t>
  </si>
  <si>
    <t>O</t>
  </si>
  <si>
    <t>4.2.1</t>
  </si>
  <si>
    <t>P</t>
  </si>
  <si>
    <t>4.2.2</t>
  </si>
  <si>
    <t>Q</t>
  </si>
  <si>
    <t>CALCULADORA DE CORRIDAS</t>
  </si>
  <si>
    <t>4.2.3</t>
  </si>
  <si>
    <t>R</t>
  </si>
  <si>
    <t>TESTES DE QUALIDADE E DESEMPENHO</t>
  </si>
  <si>
    <t>5.1</t>
  </si>
  <si>
    <t>S</t>
  </si>
  <si>
    <t>TESTES DE USABILIDADE</t>
  </si>
  <si>
    <t>5.2</t>
  </si>
  <si>
    <t>T</t>
  </si>
  <si>
    <t>IDENTIFICAÇÃO E CORREÇÃO DE BUGS</t>
  </si>
  <si>
    <t>5.3</t>
  </si>
  <si>
    <t>U</t>
  </si>
  <si>
    <t>TESTES DE VULNERABILIDADES</t>
  </si>
  <si>
    <t>5.4</t>
  </si>
  <si>
    <t>V</t>
  </si>
  <si>
    <t>TESTES DE INTEGRAÇÃO</t>
  </si>
  <si>
    <t>5.5</t>
  </si>
  <si>
    <t>W</t>
  </si>
  <si>
    <t>TESTES UNITÁRIOS</t>
  </si>
  <si>
    <t>5.6</t>
  </si>
  <si>
    <t>X</t>
  </si>
  <si>
    <t>CRIAR MATERIAS DE MARKETING</t>
  </si>
  <si>
    <t>6.1</t>
  </si>
  <si>
    <t>Y</t>
  </si>
  <si>
    <t>MONITORAÇÃO DE MÉTRICAS E FEEDBACK</t>
  </si>
  <si>
    <t>7.1</t>
  </si>
  <si>
    <t>Z</t>
  </si>
  <si>
    <t>REALIZAÇÃO DE ATUALIZAÇÕES E MELHORIAS CONTÍNUAS</t>
  </si>
  <si>
    <t>7.2</t>
  </si>
  <si>
    <t>AA</t>
  </si>
  <si>
    <t>ESTRATÉGIAS DE MARKETING</t>
  </si>
  <si>
    <t>8.1</t>
  </si>
  <si>
    <t>AB</t>
  </si>
  <si>
    <t>CAMPANHAS EM MÍDIAS SOCIAIS E ANÚNCIOS ONLINE</t>
  </si>
  <si>
    <t>8.2</t>
  </si>
  <si>
    <t>AC</t>
  </si>
  <si>
    <t>ANÁLISE DE DESEMPENHO</t>
  </si>
  <si>
    <t>9.1</t>
  </si>
  <si>
    <t>AD</t>
  </si>
  <si>
    <t>COLETAR FEEDBACK E IMPLEMENTAÇÃO DE MELHORIAS</t>
  </si>
  <si>
    <t>9.2</t>
  </si>
  <si>
    <t>AE</t>
  </si>
  <si>
    <t>ANÁLISE DE EXPANSÃO DE MERCADO</t>
  </si>
  <si>
    <t>10.01</t>
  </si>
  <si>
    <t>AF</t>
  </si>
  <si>
    <t>DESENVOLVER PARCERIAS</t>
  </si>
  <si>
    <t>10.02</t>
  </si>
  <si>
    <t>AG</t>
  </si>
  <si>
    <t>Dependência</t>
  </si>
  <si>
    <t>Duração</t>
  </si>
  <si>
    <t/>
  </si>
  <si>
    <t>Projeto para construir uma solução web</t>
  </si>
  <si>
    <t>Legenda do NÓ</t>
  </si>
  <si>
    <t>Modelo</t>
  </si>
  <si>
    <t>atividade</t>
  </si>
  <si>
    <t>duração</t>
  </si>
  <si>
    <t>PDI</t>
  </si>
  <si>
    <t>PDT</t>
  </si>
  <si>
    <t>UDI</t>
  </si>
  <si>
    <t>UDT</t>
  </si>
  <si>
    <t>FL</t>
  </si>
  <si>
    <t>FT</t>
  </si>
  <si>
    <t>F,D</t>
  </si>
  <si>
    <t>E,D</t>
  </si>
  <si>
    <t>D,E</t>
  </si>
  <si>
    <t>D,L</t>
  </si>
  <si>
    <t>K,J</t>
  </si>
  <si>
    <t>M,W</t>
  </si>
  <si>
    <t>S,T,Z</t>
  </si>
  <si>
    <t>AB,S</t>
  </si>
  <si>
    <t>AB,AC</t>
  </si>
  <si>
    <t>AB,AD</t>
  </si>
  <si>
    <t>AD,Z</t>
  </si>
  <si>
    <t>PÁGINA SOBRE O PROJETO</t>
  </si>
  <si>
    <t>PÁGINA SOBRE NÓS</t>
  </si>
  <si>
    <t>CUSTO TOTAL PREVISTO</t>
  </si>
  <si>
    <t>TOTAL INVESTIMENTO PREVISTO</t>
  </si>
  <si>
    <t>TOTAL DESPESA PREVISTO</t>
  </si>
  <si>
    <t>ZINE EOOD (BOOTSTRAP STUDIO)</t>
  </si>
  <si>
    <t>DESENVOLVIMENTO</t>
  </si>
  <si>
    <t>DESPESA</t>
  </si>
  <si>
    <t>FERRAMENTA DE PROTOTIPAÇÃO</t>
  </si>
  <si>
    <t>GITHUB, INC.</t>
  </si>
  <si>
    <t>FERRAMENTA DE DESENVOLVIMENTO</t>
  </si>
  <si>
    <t>CONCESSIONÁRIAS</t>
  </si>
  <si>
    <t>N/A</t>
  </si>
  <si>
    <t>ENERGIA ELÉTRICA, AGUA, INTERNET E TELEFONIA</t>
  </si>
  <si>
    <t>SANTA FÉ IMOBILIARIA</t>
  </si>
  <si>
    <t>ALUGUEL</t>
  </si>
  <si>
    <t>DOIS PALITOS MARKETING LTDA</t>
  </si>
  <si>
    <t>PROPAGANDA E PUBLICIDADE</t>
  </si>
  <si>
    <t>FIGMA</t>
  </si>
  <si>
    <t>DANIEL BAPTISTA</t>
  </si>
  <si>
    <t>DESENVOLVEDOR</t>
  </si>
  <si>
    <t>FABRICIO NASCIMENTO LTDA</t>
  </si>
  <si>
    <t>GERENTE DO PROJETO</t>
  </si>
  <si>
    <t>FABIO SPINDOLA S/A</t>
  </si>
  <si>
    <t>DESIGNER</t>
  </si>
  <si>
    <t>MICROSOFT AZURE</t>
  </si>
  <si>
    <t>INFRA-ESTRUTURA</t>
  </si>
  <si>
    <t>INFRAESTRUTURA NUVEM</t>
  </si>
  <si>
    <t>NETLIFY</t>
  </si>
  <si>
    <t>HOSPEDAGEM SITE</t>
  </si>
  <si>
    <t>Total</t>
  </si>
  <si>
    <t>TOTAL ( R$ )</t>
  </si>
  <si>
    <t>Preço R$</t>
  </si>
  <si>
    <t>CÓDIGO ERP REPASSE</t>
  </si>
  <si>
    <t>CÓDIGO ERP LANÇAMENTO</t>
  </si>
  <si>
    <t>FORNECEDOR</t>
  </si>
  <si>
    <t>QTDE</t>
  </si>
  <si>
    <t>Projeto</t>
  </si>
  <si>
    <t>Desenvolvimento / Infra-estrutura</t>
  </si>
  <si>
    <t>Ivestimento / Despesa</t>
  </si>
  <si>
    <t>Previsão</t>
  </si>
  <si>
    <t>Término:</t>
  </si>
  <si>
    <t>Início:</t>
  </si>
  <si>
    <t>Investimento Aprovado</t>
  </si>
  <si>
    <t>PYD - PICK YOUR DRIVER</t>
  </si>
  <si>
    <t>Projeto:</t>
  </si>
  <si>
    <t>STATUS: APROVADO</t>
  </si>
  <si>
    <t>BETA</t>
  </si>
  <si>
    <t>VERSÃO:</t>
  </si>
  <si>
    <t>Área responsável pelo modelo: PMO</t>
  </si>
  <si>
    <t>Fluxo de Caixa do Projeto</t>
  </si>
  <si>
    <t>Saldo Final</t>
  </si>
  <si>
    <t>Diferença dos realizados</t>
  </si>
  <si>
    <t>Realizado</t>
  </si>
  <si>
    <t>Orçado</t>
  </si>
  <si>
    <t>Mês</t>
  </si>
  <si>
    <t>Desvio %</t>
  </si>
  <si>
    <t>Desvio (R$)</t>
  </si>
  <si>
    <t>Acumulado (R$)</t>
  </si>
  <si>
    <t>No Período (R$)</t>
  </si>
  <si>
    <t>Períodos</t>
  </si>
  <si>
    <t>Atualização do plano de gestão de risco, feita pelo gerente de projeto.</t>
  </si>
  <si>
    <t>Criação do plano de gestão de risco.</t>
  </si>
  <si>
    <t>Histórico da avaliação de riscos</t>
  </si>
  <si>
    <t>Data da avaliação</t>
  </si>
  <si>
    <t>Fabricio Nascimento</t>
  </si>
  <si>
    <t>Gerente Responsável</t>
  </si>
  <si>
    <t>Picke Your Driver</t>
  </si>
  <si>
    <t>Informações sobre o projeto</t>
  </si>
  <si>
    <t>Permitir modo offline e sincronização posterior</t>
  </si>
  <si>
    <t>Ter link de backup e monitoramento de rede</t>
  </si>
  <si>
    <t>Aceitação (se for externa) / Mitigação (se interna)</t>
  </si>
  <si>
    <t>Daniel</t>
  </si>
  <si>
    <t>O que acarretaria uma má experiência do usuário</t>
  </si>
  <si>
    <t>Pode ocorrer falha no carregamento de dados em tempo real</t>
  </si>
  <si>
    <t>Como resultado de instabilidade na conexão de internet durante o uso do sistema</t>
  </si>
  <si>
    <t>Conectividade</t>
  </si>
  <si>
    <t>Instalações</t>
  </si>
  <si>
    <t>R08</t>
  </si>
  <si>
    <t>Implementar fallback local e alertar usuários temporariamente</t>
  </si>
  <si>
    <t>Testes regulares de integração e uso de mocks</t>
  </si>
  <si>
    <t>Mitigação</t>
  </si>
  <si>
    <t>O que acarretaria resultados imprecisos e funcionamento parcial do sistema</t>
  </si>
  <si>
    <t>Pode ocorrer erro na coleta de dados de distância ou valores base</t>
  </si>
  <si>
    <t>Como resultado de falha na integração com APIs externas (Google Maps, Uber API, etc.)</t>
  </si>
  <si>
    <t>Integrações</t>
  </si>
  <si>
    <t>Software</t>
  </si>
  <si>
    <t>R07</t>
  </si>
  <si>
    <t>Corrigir com hotfixes e reverter para versão anterior estável</t>
  </si>
  <si>
    <t>Aplicar testes automatizados, manuais e beta testing</t>
  </si>
  <si>
    <t>Leonardo</t>
  </si>
  <si>
    <t>O que acarretaria insatisfação e perda de confiança dos usuários</t>
  </si>
  <si>
    <t>Pode ocorrer cálculo incorreto do valor estimado</t>
  </si>
  <si>
    <t>Como resultado de falhas não identificadas durante os testes</t>
  </si>
  <si>
    <t>Bugs</t>
  </si>
  <si>
    <t>R06</t>
  </si>
  <si>
    <t>Utilizar emuladores ou dispositivos alternativos para testes</t>
  </si>
  <si>
    <t>Garantir equipamentos de reserva e manutenções periódicas</t>
  </si>
  <si>
    <t>Fabrício</t>
  </si>
  <si>
    <t>O que acarretaria liberação de sistema com falhas</t>
  </si>
  <si>
    <t>Pode ocorrer erro na validação de funcionalidades</t>
  </si>
  <si>
    <t>Como resultado de problemas nos dispositivos usados para testes</t>
  </si>
  <si>
    <t>Defeitos</t>
  </si>
  <si>
    <t>Equipamentos</t>
  </si>
  <si>
    <t>R05</t>
  </si>
  <si>
    <t>Mover sistema para servidor de backup ou plano de disaster recovery</t>
  </si>
  <si>
    <t>Utilizar serviços em nuvem confiáveis com redundância</t>
  </si>
  <si>
    <t>O que acarretaria perda de credibilidade do sistema</t>
  </si>
  <si>
    <t>Pode ocorrer indisponibilidade do sistema durante testes ou produção</t>
  </si>
  <si>
    <t>Como resultado de falhas nos servidores de hospedagem</t>
  </si>
  <si>
    <t>Falhas</t>
  </si>
  <si>
    <t>R04</t>
  </si>
  <si>
    <t>Nomear mediador ou facilitador de comunicação entre as áreas</t>
  </si>
  <si>
    <t>Realizar reuniões de alinhamento e uso de ferramentas como Trello, Slack ou Jira</t>
  </si>
  <si>
    <t>Fábio</t>
  </si>
  <si>
    <t>O que acarretaria retrabalho e aumento no tempo de entrega</t>
  </si>
  <si>
    <t>Pode ocorrer incompatibilidade entre as funcionalidades planejadas e implementadas</t>
  </si>
  <si>
    <t>Como resultado da falta de alinhamento entre as áreas de design e desenvolvimento</t>
  </si>
  <si>
    <t>Comunicação</t>
  </si>
  <si>
    <t>Pessoas</t>
  </si>
  <si>
    <t>R03</t>
  </si>
  <si>
    <t>Contratar consultoria externa ou adotar soluções mais simples</t>
  </si>
  <si>
    <t>Oferecer treinamentos específicos e pair programming</t>
  </si>
  <si>
    <t>O que acarretaria em estimativas incorretas ou sistema ineficaz</t>
  </si>
  <si>
    <t>Pode ocorrer falha na implementação do cálculo de rota e custo</t>
  </si>
  <si>
    <t>Como resultado da baixa experiência da equipe com APIs de mapas e geolocalização</t>
  </si>
  <si>
    <t>Falta de habilidade</t>
  </si>
  <si>
    <t>R02</t>
  </si>
  <si>
    <t>Baixo - 4</t>
  </si>
  <si>
    <t>Alta - 4</t>
  </si>
  <si>
    <t>Atraso no projeto e aumento nos custos</t>
  </si>
  <si>
    <t>Realocar tarefas para outros membros, readequar cronograma</t>
  </si>
  <si>
    <t>Planejar férias e ausências, manter documentação acessível e equipe multidisciplinar</t>
  </si>
  <si>
    <t>O que acarretaria atraso na entrega do aplicativo</t>
  </si>
  <si>
    <t>Pode ocorrer atraso no desenvolvimento do sistema</t>
  </si>
  <si>
    <t>Como resultado da ausência de desenvolvedores-chave</t>
  </si>
  <si>
    <t>Ausência</t>
  </si>
  <si>
    <t>R01</t>
  </si>
  <si>
    <t>Baixo - 3</t>
  </si>
  <si>
    <t>Moderada - 3</t>
  </si>
  <si>
    <t>Riscos Colaterais</t>
  </si>
  <si>
    <r>
      <t xml:space="preserve">CONSEQUÊNCIA </t>
    </r>
    <r>
      <rPr>
        <sz val="8"/>
        <rFont val="Arial"/>
        <family val="2"/>
      </rPr>
      <t>(Começar a frase com "O que acarretaria ...")</t>
    </r>
  </si>
  <si>
    <r>
      <t xml:space="preserve">RISCO 
</t>
    </r>
    <r>
      <rPr>
        <sz val="8"/>
        <rFont val="Arial"/>
        <family val="2"/>
      </rPr>
      <t>(Começar a frase com "Pode ocorrer ...")</t>
    </r>
  </si>
  <si>
    <r>
      <t xml:space="preserve">CAUSA 
</t>
    </r>
    <r>
      <rPr>
        <sz val="8"/>
        <color indexed="8"/>
        <rFont val="Arial"/>
        <family val="2"/>
      </rPr>
      <t>(Começa a frase com "Como Resultado ...")</t>
    </r>
  </si>
  <si>
    <t>Classificação</t>
  </si>
  <si>
    <t>Recurso</t>
  </si>
  <si>
    <t>Muito Baixo - 2</t>
  </si>
  <si>
    <t>Baixa - 2</t>
  </si>
  <si>
    <t>Severidade 
(X,Y)</t>
  </si>
  <si>
    <t>Plano de Contingência</t>
  </si>
  <si>
    <t>Plano de Prevenção</t>
  </si>
  <si>
    <t>Estratégia de Resposta</t>
  </si>
  <si>
    <t>Resp.</t>
  </si>
  <si>
    <t>Declaração do Risco</t>
  </si>
  <si>
    <t>Fase ou</t>
  </si>
  <si>
    <t>ID</t>
  </si>
  <si>
    <t>Muito Baixo - 1</t>
  </si>
  <si>
    <t>Muito Baixa - 1</t>
  </si>
  <si>
    <t>Impacto</t>
  </si>
  <si>
    <t>Probabilidade</t>
  </si>
  <si>
    <t>Identificação dos Riscos</t>
  </si>
  <si>
    <t>Muito Alta - 0,8</t>
  </si>
  <si>
    <t>Maior que 20% - 2,80</t>
  </si>
  <si>
    <t>Maior que 20% - 1,80</t>
  </si>
  <si>
    <t>Alta - 0,4</t>
  </si>
  <si>
    <t>Entre 10% e 20% - 2,40</t>
  </si>
  <si>
    <t>Entre 10% e 20% - 1,40</t>
  </si>
  <si>
    <t>Moderada - 0,2</t>
  </si>
  <si>
    <t>Entre 5% e 10% - 2,20</t>
  </si>
  <si>
    <t>Entre 5% e 10% - 1,20</t>
  </si>
  <si>
    <t>Baixa - 0,1</t>
  </si>
  <si>
    <t>Menor que 5% - 2,10</t>
  </si>
  <si>
    <t>Menor que 5% - 1,10</t>
  </si>
  <si>
    <t>Muito baixa - 0,05</t>
  </si>
  <si>
    <t>Insignificante - 2,05</t>
  </si>
  <si>
    <t>Insignificante - 1,05</t>
  </si>
  <si>
    <t>Resultado do Impacto 
(X1+X2)</t>
  </si>
  <si>
    <t>(X1*X2)</t>
  </si>
  <si>
    <t>Desvio no Cronograma  
(X2)</t>
  </si>
  <si>
    <t>Aumento no Custo (X1)</t>
  </si>
  <si>
    <r>
      <t xml:space="preserve">CONSEQÜÊNCIA </t>
    </r>
    <r>
      <rPr>
        <sz val="8"/>
        <rFont val="Arial"/>
        <family val="2"/>
      </rPr>
      <t>(Começar a frase com "O que acarretaria ...")</t>
    </r>
  </si>
  <si>
    <t>Prazo</t>
  </si>
  <si>
    <t>Custo</t>
  </si>
  <si>
    <t>Severidade 
(Y,X)</t>
  </si>
  <si>
    <t>Avaliação de Impacto 
(X)</t>
  </si>
  <si>
    <t>Probabilidade do risco virar incidente 
(Y)</t>
  </si>
  <si>
    <t>dias úteis</t>
  </si>
  <si>
    <t>Base Prazo</t>
  </si>
  <si>
    <t>R$</t>
  </si>
  <si>
    <t>Base Custo</t>
  </si>
  <si>
    <t xml:space="preserve">                      Qualificação dos Riscos</t>
  </si>
  <si>
    <t>Dias de atraso na implantação</t>
  </si>
  <si>
    <t>Feedbacks negativos dos usuários e uma possível perca de usuários se o problema persistir</t>
  </si>
  <si>
    <t>Insatisfação dos usuários e perca de mercado para outros produtos parecido</t>
  </si>
  <si>
    <t>Receber feedbacks negativos sobre o projeto e perca de credibilidade</t>
  </si>
  <si>
    <t>Entregar um sistema com falhas que não atendam as necessidades dos clientes finais</t>
  </si>
  <si>
    <t>Sistema pode não ser confiável e não ter uma boa visibilidade dos usuários finais</t>
  </si>
  <si>
    <t>Refazer o mesmo serviço duas ou mais vezes e aumentar o tempo de entrega do projeto</t>
  </si>
  <si>
    <t>Aumento no prazo para a entrega do produto final. Enviar um report para a diretoria ou superiores</t>
  </si>
  <si>
    <t>Observação</t>
  </si>
  <si>
    <r>
      <t xml:space="preserve">Impacto no Cronograma 
</t>
    </r>
    <r>
      <rPr>
        <b/>
        <sz val="8"/>
        <color indexed="10"/>
        <rFont val="Arial"/>
        <family val="2"/>
      </rPr>
      <t>(Colocar qtde. de dias de redução ou atraso no cronograma)</t>
    </r>
  </si>
  <si>
    <r>
      <t xml:space="preserve">Impacto no Custo 
</t>
    </r>
    <r>
      <rPr>
        <b/>
        <sz val="8"/>
        <color indexed="10"/>
        <rFont val="Arial"/>
        <family val="2"/>
      </rPr>
      <t>(Considerar qtde. de horas como unidade de medida, inclusive, a maior ou menor)</t>
    </r>
  </si>
  <si>
    <t>Quantificação dos Riscos</t>
  </si>
  <si>
    <t>Levantamento inicial</t>
  </si>
  <si>
    <t>R13</t>
  </si>
  <si>
    <t>R12</t>
  </si>
  <si>
    <t>R11</t>
  </si>
  <si>
    <t>R10</t>
  </si>
  <si>
    <t>R09</t>
  </si>
  <si>
    <t>Motivo</t>
  </si>
  <si>
    <t>Situação Atual</t>
  </si>
  <si>
    <t>Situação anterior</t>
  </si>
  <si>
    <t>Data</t>
  </si>
  <si>
    <t>Categoria</t>
  </si>
  <si>
    <t>Id Risco</t>
  </si>
  <si>
    <t>Autor</t>
  </si>
  <si>
    <t>Versão</t>
  </si>
  <si>
    <t>Não precisa preencher, pois o projeto não será acompanhado.</t>
  </si>
  <si>
    <t>Muito Alta - 0,80</t>
  </si>
  <si>
    <t>Alta - 0,40</t>
  </si>
  <si>
    <t>Moderada - 0,20</t>
  </si>
  <si>
    <t>Baixa - 0,10</t>
  </si>
  <si>
    <t>Desvio total maior que 20% no cronograma</t>
  </si>
  <si>
    <t>Mais de 20% de aumento nos custos</t>
  </si>
  <si>
    <t>Desvio total entre 10% e 20% no cronograma</t>
  </si>
  <si>
    <t>Desvio total entre 5% e 10% no cronograma</t>
  </si>
  <si>
    <t>Desvio menor que 5% no cronograma</t>
  </si>
  <si>
    <t>Desvio no cronograma insignificante</t>
  </si>
  <si>
    <t>entre 10% e 20% de aumento do custo</t>
  </si>
  <si>
    <t>entre 5% e 10% de aumento do custo</t>
  </si>
  <si>
    <t>Menos de 5% de aumento no custo</t>
  </si>
  <si>
    <t>Aumento de custo Insignificante</t>
  </si>
  <si>
    <t>Peso1 X Peso2</t>
  </si>
  <si>
    <t>Peso2</t>
  </si>
  <si>
    <t>Cronograma</t>
  </si>
  <si>
    <t>Peso1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</si>
</sst>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4" formatCode="_-&quot;R$&quot;\ * #,##0.00_-;\-&quot;R$&quot;\ * #,##0.00_-;_-&quot;R$&quot;\ * &quot;-&quot;??_-;_-@_-"/>
    <numFmt numFmtId="43" formatCode="_-* #,##0.00_-;\-* #,##0.00_-;_-* &quot;-&quot;??_-;_-@_-"/>
    <numFmt numFmtId="164" formatCode="mmmm\-yy"/>
    <numFmt numFmtId="165" formatCode="mmm\-yy"/>
    <numFmt numFmtId="166" formatCode="0_);\(0\)"/>
    <numFmt numFmtId="167" formatCode="&quot;R$ &quot;#,##0_);\(&quot;R$ &quot;#,##0\)"/>
  </numFmts>
  <fonts count="34" x14ac:knownFonts="1">
    <font>
      <sz val="10"/>
      <color rgb="FF000000"/>
      <name val="Arial"/>
      <scheme val="minor"/>
    </font>
    <font>
      <sz val="11"/>
      <color theme="1"/>
      <name val="Arial"/>
      <family val="2"/>
      <scheme val="minor"/>
    </font>
    <font>
      <b/>
      <sz val="18"/>
      <color theme="1"/>
      <name val="Arial"/>
    </font>
    <font>
      <b/>
      <sz val="10"/>
      <color theme="1"/>
      <name val="Arial"/>
    </font>
    <font>
      <sz val="10"/>
      <color theme="1"/>
      <name val="Arial"/>
    </font>
    <font>
      <sz val="12"/>
      <color theme="1"/>
      <name val="Arial"/>
    </font>
    <font>
      <sz val="10"/>
      <name val="Arial"/>
    </font>
    <font>
      <b/>
      <sz val="8"/>
      <color theme="1"/>
      <name val="Arial"/>
    </font>
    <font>
      <b/>
      <sz val="10"/>
      <color theme="1"/>
      <name val="Arial"/>
    </font>
    <font>
      <sz val="10"/>
      <color theme="1"/>
      <name val="Arial"/>
    </font>
    <font>
      <sz val="10"/>
      <color rgb="FF9C0006"/>
      <name val="Arial"/>
    </font>
    <font>
      <sz val="10"/>
      <color theme="1"/>
      <name val="Arial"/>
      <scheme val="minor"/>
    </font>
    <font>
      <sz val="10"/>
      <color theme="1"/>
      <name val="Arial"/>
      <family val="2"/>
    </font>
    <font>
      <sz val="11"/>
      <color theme="0"/>
      <name val="Arial"/>
      <family val="2"/>
      <scheme val="minor"/>
    </font>
    <font>
      <sz val="10"/>
      <name val="Arial"/>
      <family val="2"/>
    </font>
    <font>
      <sz val="10"/>
      <color indexed="10"/>
      <name val="Arial"/>
      <family val="2"/>
    </font>
    <font>
      <b/>
      <sz val="14"/>
      <name val="Arial"/>
      <family val="2"/>
    </font>
    <font>
      <b/>
      <sz val="12"/>
      <name val="Arial"/>
      <family val="2"/>
    </font>
    <font>
      <b/>
      <sz val="10"/>
      <name val="Arial"/>
      <family val="2"/>
    </font>
    <font>
      <b/>
      <sz val="10"/>
      <color indexed="10"/>
      <name val="Arial"/>
      <family val="2"/>
    </font>
    <font>
      <b/>
      <sz val="16"/>
      <name val="Arial"/>
      <family val="2"/>
    </font>
    <font>
      <sz val="12"/>
      <name val="Arial"/>
      <family val="2"/>
    </font>
    <font>
      <b/>
      <sz val="10"/>
      <color indexed="9"/>
      <name val="Arial"/>
      <family val="2"/>
    </font>
    <font>
      <sz val="14"/>
      <name val="Arial"/>
      <family val="2"/>
    </font>
    <font>
      <sz val="8"/>
      <name val="Arial"/>
      <family val="2"/>
    </font>
    <font>
      <sz val="11"/>
      <name val="Arial"/>
      <family val="2"/>
      <scheme val="minor"/>
    </font>
    <font>
      <b/>
      <sz val="8"/>
      <color indexed="9"/>
      <name val="Tahoma"/>
      <family val="2"/>
    </font>
    <font>
      <b/>
      <sz val="10"/>
      <name val="Arial"/>
    </font>
    <font>
      <b/>
      <sz val="10"/>
      <color indexed="9"/>
      <name val="Arial"/>
    </font>
    <font>
      <b/>
      <sz val="8"/>
      <name val="Arial"/>
      <family val="2"/>
    </font>
    <font>
      <b/>
      <sz val="8"/>
      <color indexed="8"/>
      <name val="Arial"/>
      <family val="2"/>
    </font>
    <font>
      <sz val="8"/>
      <color indexed="8"/>
      <name val="Arial"/>
      <family val="2"/>
    </font>
    <font>
      <b/>
      <sz val="12"/>
      <color indexed="10"/>
      <name val="Arial"/>
      <family val="2"/>
    </font>
    <font>
      <b/>
      <sz val="8"/>
      <color indexed="10"/>
      <name val="Arial"/>
      <family val="2"/>
    </font>
  </fonts>
  <fills count="23">
    <fill>
      <patternFill patternType="none"/>
    </fill>
    <fill>
      <patternFill patternType="gray125"/>
    </fill>
    <fill>
      <patternFill patternType="solid">
        <fgColor theme="0"/>
        <bgColor theme="0"/>
      </patternFill>
    </fill>
    <fill>
      <patternFill patternType="solid">
        <fgColor rgb="FFD9E2F3"/>
        <bgColor rgb="FFD9E2F3"/>
      </patternFill>
    </fill>
    <fill>
      <patternFill patternType="solid">
        <fgColor rgb="FFC5E0B3"/>
        <bgColor rgb="FFC5E0B3"/>
      </patternFill>
    </fill>
    <fill>
      <patternFill patternType="solid">
        <fgColor rgb="FFFFFFFF"/>
        <bgColor rgb="FFFFFFFF"/>
      </patternFill>
    </fill>
    <fill>
      <patternFill patternType="solid">
        <fgColor rgb="FFFFC7CE"/>
        <bgColor rgb="FFFFC7CE"/>
      </patternFill>
    </fill>
    <fill>
      <patternFill patternType="solid">
        <fgColor rgb="FFD9E2F3"/>
        <bgColor indexed="64"/>
      </patternFill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indexed="9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56"/>
        <bgColor indexed="64"/>
      </patternFill>
    </fill>
    <fill>
      <patternFill patternType="solid">
        <fgColor indexed="56"/>
      </patternFill>
    </fill>
    <fill>
      <patternFill patternType="solid">
        <fgColor indexed="41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rgb="FFFFFF00"/>
        <bgColor indexed="64"/>
      </patternFill>
    </fill>
    <fill>
      <patternFill patternType="gray125">
        <bgColor indexed="9"/>
      </patternFill>
    </fill>
  </fills>
  <borders count="76">
    <border>
      <left/>
      <right/>
      <top/>
      <bottom/>
      <diagonal/>
    </border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/>
      <top style="medium">
        <color rgb="FF000000"/>
      </top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 style="thin">
        <color rgb="FF000000"/>
      </right>
      <top style="medium">
        <color rgb="FF000000"/>
      </top>
      <bottom style="medium">
        <color rgb="FF000000"/>
      </bottom>
      <diagonal/>
    </border>
    <border>
      <left style="thin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/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medium">
        <color rgb="FF000000"/>
      </left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55"/>
      </left>
      <right style="thin">
        <color indexed="64"/>
      </right>
      <top style="thin">
        <color indexed="55"/>
      </top>
      <bottom style="thin">
        <color indexed="64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64"/>
      </bottom>
      <diagonal/>
    </border>
    <border>
      <left style="thin">
        <color indexed="64"/>
      </left>
      <right style="thin">
        <color indexed="55"/>
      </right>
      <top style="thin">
        <color indexed="55"/>
      </top>
      <bottom style="thin">
        <color indexed="64"/>
      </bottom>
      <diagonal/>
    </border>
    <border>
      <left style="thin">
        <color indexed="55"/>
      </left>
      <right style="thin">
        <color indexed="64"/>
      </right>
      <top style="thin">
        <color indexed="55"/>
      </top>
      <bottom style="thin">
        <color indexed="55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64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55"/>
      </left>
      <right style="thin">
        <color indexed="64"/>
      </right>
      <top style="thin">
        <color indexed="64"/>
      </top>
      <bottom style="thin">
        <color indexed="55"/>
      </bottom>
      <diagonal/>
    </border>
    <border>
      <left style="thin">
        <color indexed="55"/>
      </left>
      <right style="thin">
        <color indexed="55"/>
      </right>
      <top style="thin">
        <color indexed="64"/>
      </top>
      <bottom style="thin">
        <color indexed="55"/>
      </bottom>
      <diagonal/>
    </border>
    <border>
      <left style="thin">
        <color indexed="64"/>
      </left>
      <right style="thin">
        <color indexed="55"/>
      </right>
      <top style="thin">
        <color indexed="64"/>
      </top>
      <bottom style="thin">
        <color indexed="55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</borders>
  <cellStyleXfs count="9">
    <xf numFmtId="0" fontId="0" fillId="0" borderId="0"/>
    <xf numFmtId="0" fontId="1" fillId="0" borderId="1"/>
    <xf numFmtId="43" fontId="1" fillId="0" borderId="1" applyFont="0" applyFill="0" applyBorder="0" applyAlignment="0" applyProtection="0"/>
    <xf numFmtId="44" fontId="1" fillId="0" borderId="1" applyFont="0" applyFill="0" applyBorder="0" applyAlignment="0" applyProtection="0"/>
    <xf numFmtId="0" fontId="14" fillId="0" borderId="1"/>
    <xf numFmtId="0" fontId="13" fillId="9" borderId="1" applyNumberFormat="0" applyBorder="0" applyAlignment="0" applyProtection="0"/>
    <xf numFmtId="0" fontId="13" fillId="8" borderId="1" applyNumberFormat="0" applyBorder="0" applyAlignment="0" applyProtection="0"/>
    <xf numFmtId="0" fontId="6" fillId="0" borderId="1"/>
    <xf numFmtId="9" fontId="6" fillId="0" borderId="1" applyFont="0" applyFill="0" applyBorder="0" applyAlignment="0" applyProtection="0"/>
  </cellStyleXfs>
  <cellXfs count="258">
    <xf numFmtId="0" fontId="0" fillId="0" borderId="0" xfId="0"/>
    <xf numFmtId="0" fontId="2" fillId="2" borderId="1" xfId="0" applyFont="1" applyFill="1" applyBorder="1"/>
    <xf numFmtId="0" fontId="3" fillId="3" borderId="2" xfId="0" applyFont="1" applyFill="1" applyBorder="1" applyAlignment="1">
      <alignment horizontal="center" vertical="center"/>
    </xf>
    <xf numFmtId="0" fontId="4" fillId="0" borderId="2" xfId="0" applyFont="1" applyBorder="1"/>
    <xf numFmtId="0" fontId="4" fillId="0" borderId="2" xfId="0" applyFont="1" applyBorder="1" applyAlignment="1">
      <alignment horizontal="center" vertical="center"/>
    </xf>
    <xf numFmtId="14" fontId="4" fillId="0" borderId="2" xfId="0" applyNumberFormat="1" applyFont="1" applyBorder="1" applyAlignment="1">
      <alignment horizontal="center" vertical="center"/>
    </xf>
    <xf numFmtId="0" fontId="4" fillId="0" borderId="2" xfId="0" applyFont="1" applyBorder="1" applyAlignment="1">
      <alignment horizontal="center"/>
    </xf>
    <xf numFmtId="0" fontId="4" fillId="2" borderId="1" xfId="0" applyFont="1" applyFill="1" applyBorder="1"/>
    <xf numFmtId="0" fontId="5" fillId="2" borderId="1" xfId="0" applyFont="1" applyFill="1" applyBorder="1"/>
    <xf numFmtId="0" fontId="7" fillId="3" borderId="2" xfId="0" applyFont="1" applyFill="1" applyBorder="1" applyAlignment="1">
      <alignment horizontal="center" vertical="center" wrapText="1"/>
    </xf>
    <xf numFmtId="0" fontId="4" fillId="2" borderId="2" xfId="0" applyFont="1" applyFill="1" applyBorder="1" applyAlignment="1">
      <alignment horizontal="center" vertical="center"/>
    </xf>
    <xf numFmtId="0" fontId="4" fillId="2" borderId="2" xfId="0" applyFont="1" applyFill="1" applyBorder="1" applyAlignment="1">
      <alignment horizontal="center"/>
    </xf>
    <xf numFmtId="0" fontId="4" fillId="0" borderId="7" xfId="0" applyFont="1" applyBorder="1"/>
    <xf numFmtId="0" fontId="4" fillId="0" borderId="8" xfId="0" applyFont="1" applyBorder="1"/>
    <xf numFmtId="0" fontId="9" fillId="0" borderId="7" xfId="0" applyFont="1" applyBorder="1" applyAlignment="1">
      <alignment horizontal="right"/>
    </xf>
    <xf numFmtId="0" fontId="9" fillId="0" borderId="8" xfId="0" applyFont="1" applyBorder="1" applyAlignment="1">
      <alignment horizontal="right"/>
    </xf>
    <xf numFmtId="0" fontId="4" fillId="0" borderId="9" xfId="0" applyFont="1" applyBorder="1"/>
    <xf numFmtId="0" fontId="4" fillId="0" borderId="10" xfId="0" applyFont="1" applyBorder="1"/>
    <xf numFmtId="0" fontId="9" fillId="0" borderId="9" xfId="0" applyFont="1" applyBorder="1" applyAlignment="1">
      <alignment horizontal="right"/>
    </xf>
    <xf numFmtId="0" fontId="9" fillId="0" borderId="10" xfId="0" applyFont="1" applyBorder="1" applyAlignment="1">
      <alignment horizontal="right"/>
    </xf>
    <xf numFmtId="0" fontId="4" fillId="0" borderId="0" xfId="0" applyFont="1"/>
    <xf numFmtId="0" fontId="4" fillId="0" borderId="11" xfId="0" applyFont="1" applyBorder="1"/>
    <xf numFmtId="0" fontId="10" fillId="5" borderId="11" xfId="0" applyFont="1" applyFill="1" applyBorder="1" applyAlignment="1">
      <alignment horizontal="right"/>
    </xf>
    <xf numFmtId="0" fontId="4" fillId="4" borderId="12" xfId="0" applyFont="1" applyFill="1" applyBorder="1"/>
    <xf numFmtId="0" fontId="4" fillId="4" borderId="13" xfId="0" applyFont="1" applyFill="1" applyBorder="1"/>
    <xf numFmtId="0" fontId="4" fillId="4" borderId="9" xfId="0" applyFont="1" applyFill="1" applyBorder="1"/>
    <xf numFmtId="0" fontId="4" fillId="4" borderId="10" xfId="0" applyFont="1" applyFill="1" applyBorder="1"/>
    <xf numFmtId="0" fontId="4" fillId="4" borderId="11" xfId="0" applyFont="1" applyFill="1" applyBorder="1"/>
    <xf numFmtId="0" fontId="4" fillId="4" borderId="14" xfId="0" applyFont="1" applyFill="1" applyBorder="1"/>
    <xf numFmtId="0" fontId="4" fillId="0" borderId="2" xfId="0" applyFont="1" applyBorder="1" applyAlignment="1">
      <alignment wrapText="1"/>
    </xf>
    <xf numFmtId="0" fontId="10" fillId="6" borderId="11" xfId="0" applyFont="1" applyFill="1" applyBorder="1" applyAlignment="1">
      <alignment horizontal="right"/>
    </xf>
    <xf numFmtId="0" fontId="9" fillId="0" borderId="7" xfId="0" applyFont="1" applyBorder="1"/>
    <xf numFmtId="0" fontId="11" fillId="0" borderId="0" xfId="0" applyFont="1"/>
    <xf numFmtId="0" fontId="12" fillId="2" borderId="2" xfId="0" applyFont="1" applyFill="1" applyBorder="1" applyAlignment="1">
      <alignment horizontal="center"/>
    </xf>
    <xf numFmtId="0" fontId="4" fillId="0" borderId="1" xfId="0" applyFont="1" applyBorder="1" applyAlignment="1">
      <alignment horizontal="center"/>
    </xf>
    <xf numFmtId="0" fontId="4" fillId="2" borderId="1" xfId="0" applyFont="1" applyFill="1" applyBorder="1" applyAlignment="1">
      <alignment horizontal="center"/>
    </xf>
    <xf numFmtId="0" fontId="12" fillId="0" borderId="11" xfId="0" applyFont="1" applyBorder="1" applyAlignment="1">
      <alignment horizontal="right"/>
    </xf>
    <xf numFmtId="0" fontId="12" fillId="0" borderId="11" xfId="0" applyFont="1" applyBorder="1"/>
    <xf numFmtId="0" fontId="3" fillId="7" borderId="5" xfId="0" applyFont="1" applyFill="1" applyBorder="1" applyAlignment="1">
      <alignment horizontal="center"/>
    </xf>
    <xf numFmtId="0" fontId="3" fillId="7" borderId="6" xfId="0" applyFont="1" applyFill="1" applyBorder="1" applyAlignment="1">
      <alignment horizontal="center"/>
    </xf>
    <xf numFmtId="0" fontId="8" fillId="7" borderId="5" xfId="0" applyFont="1" applyFill="1" applyBorder="1" applyAlignment="1">
      <alignment horizontal="center"/>
    </xf>
    <xf numFmtId="0" fontId="8" fillId="7" borderId="6" xfId="0" applyFont="1" applyFill="1" applyBorder="1" applyAlignment="1">
      <alignment horizontal="center"/>
    </xf>
    <xf numFmtId="0" fontId="3" fillId="7" borderId="5" xfId="0" applyFont="1" applyFill="1" applyBorder="1" applyAlignment="1">
      <alignment horizontal="center" vertical="center"/>
    </xf>
    <xf numFmtId="0" fontId="3" fillId="7" borderId="6" xfId="0" applyFont="1" applyFill="1" applyBorder="1" applyAlignment="1">
      <alignment horizontal="center" vertical="center"/>
    </xf>
    <xf numFmtId="0" fontId="3" fillId="3" borderId="3" xfId="0" applyFont="1" applyFill="1" applyBorder="1" applyAlignment="1">
      <alignment horizontal="center"/>
    </xf>
    <xf numFmtId="0" fontId="6" fillId="0" borderId="4" xfId="0" applyFont="1" applyBorder="1"/>
    <xf numFmtId="0" fontId="14" fillId="0" borderId="1" xfId="1" applyFont="1" applyAlignment="1">
      <alignment vertical="center"/>
    </xf>
    <xf numFmtId="0" fontId="15" fillId="0" borderId="1" xfId="1" applyFont="1" applyAlignment="1">
      <alignment vertical="center"/>
    </xf>
    <xf numFmtId="43" fontId="16" fillId="0" borderId="15" xfId="2" applyFont="1" applyFill="1" applyBorder="1" applyAlignment="1" applyProtection="1">
      <alignment horizontal="center" vertical="center"/>
    </xf>
    <xf numFmtId="0" fontId="17" fillId="10" borderId="16" xfId="1" applyFont="1" applyFill="1" applyBorder="1" applyAlignment="1">
      <alignment vertical="center"/>
    </xf>
    <xf numFmtId="0" fontId="17" fillId="10" borderId="17" xfId="1" applyFont="1" applyFill="1" applyBorder="1" applyAlignment="1">
      <alignment vertical="center"/>
    </xf>
    <xf numFmtId="0" fontId="17" fillId="10" borderId="18" xfId="1" applyFont="1" applyFill="1" applyBorder="1" applyAlignment="1">
      <alignment vertical="center"/>
    </xf>
    <xf numFmtId="0" fontId="14" fillId="0" borderId="19" xfId="1" applyFont="1" applyBorder="1"/>
    <xf numFmtId="0" fontId="14" fillId="0" borderId="20" xfId="1" applyFont="1" applyBorder="1"/>
    <xf numFmtId="43" fontId="14" fillId="0" borderId="21" xfId="2" applyFont="1" applyFill="1" applyBorder="1" applyAlignment="1" applyProtection="1">
      <alignment horizontal="center" vertical="center"/>
    </xf>
    <xf numFmtId="43" fontId="14" fillId="11" borderId="22" xfId="2" applyFont="1" applyFill="1" applyBorder="1" applyAlignment="1" applyProtection="1">
      <alignment horizontal="center" vertical="center"/>
      <protection locked="0"/>
    </xf>
    <xf numFmtId="44" fontId="14" fillId="0" borderId="23" xfId="3" applyFont="1" applyFill="1" applyBorder="1" applyAlignment="1" applyProtection="1">
      <alignment horizontal="left" vertical="center"/>
    </xf>
    <xf numFmtId="44" fontId="14" fillId="0" borderId="22" xfId="3" applyFont="1" applyFill="1" applyBorder="1" applyAlignment="1" applyProtection="1">
      <alignment horizontal="center" vertical="center"/>
      <protection locked="0"/>
    </xf>
    <xf numFmtId="0" fontId="14" fillId="0" borderId="22" xfId="1" applyFont="1" applyBorder="1" applyAlignment="1" applyProtection="1">
      <alignment horizontal="left" vertical="center"/>
      <protection locked="0"/>
    </xf>
    <xf numFmtId="0" fontId="14" fillId="0" borderId="23" xfId="1" applyFont="1" applyBorder="1" applyAlignment="1" applyProtection="1">
      <alignment horizontal="left" vertical="center"/>
      <protection locked="0"/>
    </xf>
    <xf numFmtId="0" fontId="14" fillId="0" borderId="23" xfId="1" applyFont="1" applyBorder="1" applyAlignment="1">
      <alignment horizontal="left" vertical="center"/>
    </xf>
    <xf numFmtId="43" fontId="14" fillId="11" borderId="23" xfId="2" applyFont="1" applyFill="1" applyBorder="1" applyAlignment="1" applyProtection="1">
      <alignment horizontal="center" vertical="center"/>
      <protection locked="0"/>
    </xf>
    <xf numFmtId="0" fontId="18" fillId="10" borderId="24" xfId="1" applyFont="1" applyFill="1" applyBorder="1" applyAlignment="1">
      <alignment vertical="center"/>
    </xf>
    <xf numFmtId="0" fontId="18" fillId="10" borderId="17" xfId="1" applyFont="1" applyFill="1" applyBorder="1" applyAlignment="1">
      <alignment vertical="center"/>
    </xf>
    <xf numFmtId="0" fontId="18" fillId="10" borderId="18" xfId="1" applyFont="1" applyFill="1" applyBorder="1" applyAlignment="1">
      <alignment vertical="center"/>
    </xf>
    <xf numFmtId="0" fontId="14" fillId="0" borderId="25" xfId="1" applyFont="1" applyBorder="1"/>
    <xf numFmtId="0" fontId="19" fillId="0" borderId="15" xfId="1" applyFont="1" applyBorder="1" applyAlignment="1">
      <alignment horizontal="center" vertical="center"/>
    </xf>
    <xf numFmtId="164" fontId="19" fillId="0" borderId="15" xfId="1" applyNumberFormat="1" applyFont="1" applyBorder="1" applyAlignment="1">
      <alignment horizontal="center" vertical="center"/>
    </xf>
    <xf numFmtId="0" fontId="18" fillId="0" borderId="26" xfId="1" applyFont="1" applyBorder="1" applyAlignment="1">
      <alignment horizontal="center" vertical="center"/>
    </xf>
    <xf numFmtId="0" fontId="18" fillId="0" borderId="27" xfId="1" applyFont="1" applyBorder="1" applyAlignment="1">
      <alignment vertical="center"/>
    </xf>
    <xf numFmtId="0" fontId="18" fillId="0" borderId="15" xfId="1" applyFont="1" applyBorder="1" applyAlignment="1">
      <alignment horizontal="center" vertical="center" wrapText="1"/>
    </xf>
    <xf numFmtId="0" fontId="18" fillId="0" borderId="15" xfId="1" applyFont="1" applyBorder="1" applyAlignment="1">
      <alignment horizontal="center" vertical="center"/>
    </xf>
    <xf numFmtId="0" fontId="18" fillId="0" borderId="16" xfId="1" applyFont="1" applyBorder="1" applyAlignment="1">
      <alignment horizontal="left" vertical="center"/>
    </xf>
    <xf numFmtId="0" fontId="18" fillId="0" borderId="16" xfId="1" applyFont="1" applyBorder="1" applyAlignment="1">
      <alignment horizontal="left" vertical="center" wrapText="1"/>
    </xf>
    <xf numFmtId="0" fontId="20" fillId="12" borderId="28" xfId="1" applyFont="1" applyFill="1" applyBorder="1" applyAlignment="1">
      <alignment horizontal="center" vertical="center" textRotation="90"/>
    </xf>
    <xf numFmtId="0" fontId="19" fillId="0" borderId="29" xfId="1" applyFont="1" applyBorder="1" applyAlignment="1">
      <alignment horizontal="center" vertical="center"/>
    </xf>
    <xf numFmtId="164" fontId="19" fillId="0" borderId="17" xfId="1" applyNumberFormat="1" applyFont="1" applyBorder="1" applyAlignment="1">
      <alignment horizontal="center" vertical="center"/>
    </xf>
    <xf numFmtId="0" fontId="19" fillId="0" borderId="17" xfId="1" applyFont="1" applyBorder="1" applyAlignment="1">
      <alignment horizontal="center" vertical="center"/>
    </xf>
    <xf numFmtId="0" fontId="14" fillId="0" borderId="29" xfId="1" applyFont="1" applyBorder="1" applyAlignment="1">
      <alignment vertical="center"/>
    </xf>
    <xf numFmtId="165" fontId="21" fillId="0" borderId="30" xfId="1" applyNumberFormat="1" applyFont="1" applyBorder="1" applyAlignment="1" applyProtection="1">
      <alignment horizontal="left" vertical="center"/>
      <protection locked="0"/>
    </xf>
    <xf numFmtId="0" fontId="17" fillId="0" borderId="31" xfId="1" applyFont="1" applyBorder="1" applyAlignment="1">
      <alignment horizontal="right" vertical="center"/>
    </xf>
    <xf numFmtId="0" fontId="17" fillId="0" borderId="32" xfId="1" applyFont="1" applyBorder="1" applyAlignment="1">
      <alignment horizontal="right" vertical="center"/>
    </xf>
    <xf numFmtId="44" fontId="17" fillId="13" borderId="33" xfId="3" applyFont="1" applyFill="1" applyBorder="1" applyAlignment="1" applyProtection="1">
      <alignment horizontal="center" vertical="center"/>
      <protection locked="0"/>
    </xf>
    <xf numFmtId="44" fontId="17" fillId="13" borderId="22" xfId="3" applyFont="1" applyFill="1" applyBorder="1" applyAlignment="1" applyProtection="1">
      <alignment horizontal="center" vertical="center"/>
      <protection locked="0"/>
    </xf>
    <xf numFmtId="0" fontId="22" fillId="14" borderId="33" xfId="1" applyFont="1" applyFill="1" applyBorder="1" applyAlignment="1">
      <alignment horizontal="center" vertical="center"/>
    </xf>
    <xf numFmtId="0" fontId="22" fillId="14" borderId="32" xfId="1" applyFont="1" applyFill="1" applyBorder="1" applyAlignment="1">
      <alignment horizontal="center" vertical="center"/>
    </xf>
    <xf numFmtId="0" fontId="22" fillId="14" borderId="22" xfId="1" applyFont="1" applyFill="1" applyBorder="1" applyAlignment="1">
      <alignment horizontal="center" vertical="center"/>
    </xf>
    <xf numFmtId="0" fontId="16" fillId="10" borderId="30" xfId="1" applyFont="1" applyFill="1" applyBorder="1" applyAlignment="1">
      <alignment horizontal="left" vertical="center"/>
    </xf>
    <xf numFmtId="0" fontId="16" fillId="0" borderId="34" xfId="1" applyFont="1" applyBorder="1" applyAlignment="1" applyProtection="1">
      <alignment horizontal="center" vertical="center"/>
      <protection locked="0"/>
    </xf>
    <xf numFmtId="0" fontId="23" fillId="0" borderId="31" xfId="1" applyFont="1" applyBorder="1" applyAlignment="1">
      <alignment horizontal="left" vertical="center"/>
    </xf>
    <xf numFmtId="0" fontId="24" fillId="10" borderId="1" xfId="1" applyFont="1" applyFill="1" applyAlignment="1" applyProtection="1">
      <alignment horizontal="center" vertical="center"/>
      <protection locked="0"/>
    </xf>
    <xf numFmtId="0" fontId="22" fillId="10" borderId="1" xfId="1" applyFont="1" applyFill="1" applyAlignment="1">
      <alignment horizontal="left" vertical="center"/>
    </xf>
    <xf numFmtId="0" fontId="24" fillId="10" borderId="1" xfId="1" applyFont="1" applyFill="1" applyAlignment="1">
      <alignment horizontal="left" vertical="center"/>
    </xf>
    <xf numFmtId="0" fontId="24" fillId="10" borderId="35" xfId="1" applyFont="1" applyFill="1" applyBorder="1" applyAlignment="1">
      <alignment horizontal="left" vertical="center"/>
    </xf>
    <xf numFmtId="0" fontId="24" fillId="0" borderId="32" xfId="1" applyFont="1" applyBorder="1" applyAlignment="1">
      <alignment horizontal="centerContinuous" vertical="center"/>
    </xf>
    <xf numFmtId="0" fontId="24" fillId="0" borderId="22" xfId="1" applyFont="1" applyBorder="1" applyAlignment="1">
      <alignment horizontal="centerContinuous" vertical="center"/>
    </xf>
    <xf numFmtId="0" fontId="24" fillId="0" borderId="33" xfId="1" applyFont="1" applyBorder="1" applyAlignment="1">
      <alignment horizontal="left" vertical="center"/>
    </xf>
    <xf numFmtId="0" fontId="24" fillId="0" borderId="32" xfId="1" applyFont="1" applyBorder="1" applyAlignment="1">
      <alignment horizontal="right" vertical="center"/>
    </xf>
    <xf numFmtId="0" fontId="24" fillId="0" borderId="22" xfId="1" applyFont="1" applyBorder="1" applyAlignment="1">
      <alignment horizontal="right" vertical="center"/>
    </xf>
    <xf numFmtId="0" fontId="14" fillId="0" borderId="33" xfId="1" applyFont="1" applyBorder="1" applyAlignment="1">
      <alignment vertical="center"/>
    </xf>
    <xf numFmtId="0" fontId="14" fillId="0" borderId="22" xfId="1" applyFont="1" applyBorder="1" applyAlignment="1">
      <alignment horizontal="left" vertical="center"/>
    </xf>
    <xf numFmtId="0" fontId="16" fillId="10" borderId="33" xfId="1" applyFont="1" applyFill="1" applyBorder="1" applyAlignment="1">
      <alignment horizontal="left" vertical="center"/>
    </xf>
    <xf numFmtId="0" fontId="16" fillId="10" borderId="32" xfId="1" applyFont="1" applyFill="1" applyBorder="1" applyAlignment="1">
      <alignment horizontal="left" vertical="center"/>
    </xf>
    <xf numFmtId="0" fontId="16" fillId="10" borderId="22" xfId="1" applyFont="1" applyFill="1" applyBorder="1" applyAlignment="1">
      <alignment horizontal="left" vertical="center"/>
    </xf>
    <xf numFmtId="0" fontId="14" fillId="0" borderId="1" xfId="4"/>
    <xf numFmtId="0" fontId="25" fillId="0" borderId="1" xfId="4" applyFont="1"/>
    <xf numFmtId="3" fontId="25" fillId="0" borderId="23" xfId="4" applyNumberFormat="1" applyFont="1" applyBorder="1"/>
    <xf numFmtId="0" fontId="13" fillId="9" borderId="23" xfId="5" applyBorder="1" applyAlignment="1"/>
    <xf numFmtId="9" fontId="25" fillId="0" borderId="23" xfId="4" applyNumberFormat="1" applyFont="1" applyBorder="1"/>
    <xf numFmtId="0" fontId="25" fillId="0" borderId="23" xfId="4" applyFont="1" applyBorder="1"/>
    <xf numFmtId="0" fontId="13" fillId="8" borderId="36" xfId="6" applyBorder="1" applyAlignment="1"/>
    <xf numFmtId="0" fontId="13" fillId="8" borderId="37" xfId="6" applyBorder="1" applyAlignment="1"/>
    <xf numFmtId="0" fontId="13" fillId="8" borderId="38" xfId="6" applyBorder="1" applyAlignment="1"/>
    <xf numFmtId="0" fontId="13" fillId="8" borderId="1" xfId="6" applyAlignment="1"/>
    <xf numFmtId="0" fontId="13" fillId="8" borderId="39" xfId="6" applyBorder="1" applyAlignment="1"/>
    <xf numFmtId="0" fontId="13" fillId="8" borderId="40" xfId="6" applyBorder="1" applyAlignment="1"/>
    <xf numFmtId="0" fontId="13" fillId="8" borderId="41" xfId="6" applyBorder="1" applyAlignment="1"/>
    <xf numFmtId="0" fontId="1" fillId="0" borderId="1" xfId="1"/>
    <xf numFmtId="0" fontId="6" fillId="0" borderId="1" xfId="7"/>
    <xf numFmtId="0" fontId="6" fillId="0" borderId="1" xfId="7" applyAlignment="1">
      <alignment vertical="center"/>
    </xf>
    <xf numFmtId="0" fontId="6" fillId="0" borderId="33" xfId="7" applyBorder="1" applyAlignment="1">
      <alignment horizontal="left" vertical="top"/>
    </xf>
    <xf numFmtId="0" fontId="6" fillId="0" borderId="32" xfId="7" applyBorder="1" applyAlignment="1">
      <alignment horizontal="left" vertical="top"/>
    </xf>
    <xf numFmtId="0" fontId="6" fillId="0" borderId="22" xfId="7" applyBorder="1" applyAlignment="1">
      <alignment horizontal="left" vertical="top"/>
    </xf>
    <xf numFmtId="14" fontId="18" fillId="0" borderId="23" xfId="7" applyNumberFormat="1" applyFont="1" applyBorder="1" applyAlignment="1">
      <alignment horizontal="center" vertical="center" wrapText="1"/>
    </xf>
    <xf numFmtId="0" fontId="26" fillId="15" borderId="33" xfId="7" applyFont="1" applyFill="1" applyBorder="1" applyAlignment="1">
      <alignment horizontal="center" vertical="center"/>
    </xf>
    <xf numFmtId="0" fontId="26" fillId="15" borderId="32" xfId="7" applyFont="1" applyFill="1" applyBorder="1" applyAlignment="1">
      <alignment horizontal="center" vertical="center"/>
    </xf>
    <xf numFmtId="0" fontId="26" fillId="15" borderId="22" xfId="7" applyFont="1" applyFill="1" applyBorder="1" applyAlignment="1">
      <alignment horizontal="center" vertical="center"/>
    </xf>
    <xf numFmtId="0" fontId="27" fillId="0" borderId="1" xfId="7" applyFont="1"/>
    <xf numFmtId="14" fontId="18" fillId="0" borderId="42" xfId="7" applyNumberFormat="1" applyFont="1" applyBorder="1" applyAlignment="1">
      <alignment horizontal="left" vertical="center"/>
    </xf>
    <xf numFmtId="14" fontId="18" fillId="0" borderId="43" xfId="7" applyNumberFormat="1" applyFont="1" applyBorder="1" applyAlignment="1">
      <alignment horizontal="left" vertical="center"/>
    </xf>
    <xf numFmtId="0" fontId="26" fillId="15" borderId="43" xfId="7" applyFont="1" applyFill="1" applyBorder="1" applyAlignment="1">
      <alignment horizontal="left" vertical="center"/>
    </xf>
    <xf numFmtId="0" fontId="26" fillId="15" borderId="44" xfId="7" applyFont="1" applyFill="1" applyBorder="1" applyAlignment="1">
      <alignment horizontal="left" vertical="center"/>
    </xf>
    <xf numFmtId="0" fontId="18" fillId="0" borderId="45" xfId="7" applyFont="1" applyBorder="1" applyAlignment="1">
      <alignment horizontal="left" vertical="center"/>
    </xf>
    <xf numFmtId="0" fontId="18" fillId="0" borderId="46" xfId="7" applyFont="1" applyBorder="1" applyAlignment="1">
      <alignment horizontal="left" vertical="center"/>
    </xf>
    <xf numFmtId="0" fontId="26" fillId="15" borderId="46" xfId="7" applyFont="1" applyFill="1" applyBorder="1" applyAlignment="1">
      <alignment horizontal="left" vertical="center"/>
    </xf>
    <xf numFmtId="0" fontId="26" fillId="15" borderId="47" xfId="7" applyFont="1" applyFill="1" applyBorder="1" applyAlignment="1">
      <alignment horizontal="left" vertical="center"/>
    </xf>
    <xf numFmtId="0" fontId="28" fillId="16" borderId="48" xfId="7" applyFont="1" applyFill="1" applyBorder="1" applyAlignment="1">
      <alignment horizontal="center"/>
    </xf>
    <xf numFmtId="0" fontId="28" fillId="16" borderId="49" xfId="7" applyFont="1" applyFill="1" applyBorder="1" applyAlignment="1">
      <alignment horizontal="center"/>
    </xf>
    <xf numFmtId="0" fontId="28" fillId="16" borderId="50" xfId="7" applyFont="1" applyFill="1" applyBorder="1" applyAlignment="1">
      <alignment horizontal="center"/>
    </xf>
    <xf numFmtId="0" fontId="24" fillId="0" borderId="1" xfId="7" applyFont="1" applyAlignment="1">
      <alignment horizontal="center" vertical="center" wrapText="1"/>
    </xf>
    <xf numFmtId="0" fontId="24" fillId="0" borderId="1" xfId="7" applyFont="1" applyAlignment="1">
      <alignment vertical="center" wrapText="1"/>
    </xf>
    <xf numFmtId="49" fontId="29" fillId="0" borderId="1" xfId="7" applyNumberFormat="1" applyFont="1" applyAlignment="1">
      <alignment vertical="center" wrapText="1"/>
    </xf>
    <xf numFmtId="0" fontId="24" fillId="0" borderId="1" xfId="7" applyFont="1" applyAlignment="1">
      <alignment horizontal="left" vertical="center" wrapText="1"/>
    </xf>
    <xf numFmtId="0" fontId="14" fillId="0" borderId="21" xfId="7" applyFont="1" applyBorder="1" applyAlignment="1">
      <alignment horizontal="center" vertical="center" wrapText="1"/>
    </xf>
    <xf numFmtId="0" fontId="14" fillId="0" borderId="51" xfId="7" applyFont="1" applyBorder="1" applyAlignment="1">
      <alignment horizontal="center" vertical="center" wrapText="1"/>
    </xf>
    <xf numFmtId="0" fontId="14" fillId="0" borderId="1" xfId="7" applyFont="1" applyAlignment="1">
      <alignment horizontal="center" vertical="center" wrapText="1"/>
    </xf>
    <xf numFmtId="0" fontId="14" fillId="0" borderId="52" xfId="7" applyFont="1" applyBorder="1" applyAlignment="1">
      <alignment horizontal="center" vertical="center" wrapText="1"/>
    </xf>
    <xf numFmtId="0" fontId="14" fillId="0" borderId="53" xfId="7" applyFont="1" applyBorder="1" applyAlignment="1">
      <alignment horizontal="center" vertical="center" wrapText="1"/>
    </xf>
    <xf numFmtId="0" fontId="24" fillId="0" borderId="36" xfId="7" applyFont="1" applyBorder="1" applyAlignment="1">
      <alignment horizontal="center" vertical="center" wrapText="1"/>
    </xf>
    <xf numFmtId="0" fontId="24" fillId="0" borderId="37" xfId="7" applyFont="1" applyBorder="1" applyAlignment="1">
      <alignment horizontal="center" vertical="center" wrapText="1"/>
    </xf>
    <xf numFmtId="0" fontId="6" fillId="0" borderId="23" xfId="7" applyBorder="1" applyAlignment="1">
      <alignment vertical="center" wrapText="1"/>
    </xf>
    <xf numFmtId="49" fontId="29" fillId="0" borderId="38" xfId="7" applyNumberFormat="1" applyFont="1" applyBorder="1" applyAlignment="1">
      <alignment horizontal="center" vertical="center" wrapText="1"/>
    </xf>
    <xf numFmtId="0" fontId="24" fillId="0" borderId="54" xfId="7" applyFont="1" applyBorder="1" applyAlignment="1">
      <alignment horizontal="center" vertical="center" wrapText="1"/>
    </xf>
    <xf numFmtId="0" fontId="6" fillId="0" borderId="36" xfId="7" applyBorder="1" applyAlignment="1">
      <alignment vertical="center" wrapText="1"/>
    </xf>
    <xf numFmtId="0" fontId="24" fillId="0" borderId="1" xfId="7" applyFont="1" applyAlignment="1" applyProtection="1">
      <alignment horizontal="center" vertical="center" wrapText="1"/>
      <protection locked="0"/>
    </xf>
    <xf numFmtId="0" fontId="6" fillId="0" borderId="21" xfId="7" applyBorder="1" applyAlignment="1">
      <alignment horizontal="center" wrapText="1"/>
    </xf>
    <xf numFmtId="0" fontId="6" fillId="0" borderId="51" xfId="7" applyBorder="1" applyAlignment="1">
      <alignment wrapText="1"/>
    </xf>
    <xf numFmtId="0" fontId="6" fillId="0" borderId="1" xfId="7" applyAlignment="1">
      <alignment wrapText="1"/>
    </xf>
    <xf numFmtId="0" fontId="29" fillId="11" borderId="55" xfId="7" applyFont="1" applyFill="1" applyBorder="1" applyAlignment="1" applyProtection="1">
      <alignment horizontal="center" vertical="center" wrapText="1"/>
      <protection locked="0"/>
    </xf>
    <xf numFmtId="0" fontId="29" fillId="11" borderId="34" xfId="7" applyFont="1" applyFill="1" applyBorder="1" applyAlignment="1" applyProtection="1">
      <alignment horizontal="center" vertical="center" wrapText="1"/>
      <protection locked="0"/>
    </xf>
    <xf numFmtId="0" fontId="30" fillId="11" borderId="19" xfId="7" applyFont="1" applyFill="1" applyBorder="1" applyAlignment="1" applyProtection="1">
      <alignment horizontal="center" vertical="center" wrapText="1"/>
      <protection locked="0"/>
    </xf>
    <xf numFmtId="0" fontId="29" fillId="11" borderId="19" xfId="7" applyFont="1" applyFill="1" applyBorder="1" applyAlignment="1" applyProtection="1">
      <alignment horizontal="center" vertical="center" wrapText="1"/>
      <protection locked="0"/>
    </xf>
    <xf numFmtId="49" fontId="30" fillId="11" borderId="56" xfId="7" applyNumberFormat="1" applyFont="1" applyFill="1" applyBorder="1" applyAlignment="1" applyProtection="1">
      <alignment horizontal="center" vertical="center" wrapText="1"/>
      <protection locked="0"/>
    </xf>
    <xf numFmtId="0" fontId="29" fillId="11" borderId="57" xfId="7" applyFont="1" applyFill="1" applyBorder="1" applyAlignment="1" applyProtection="1">
      <alignment horizontal="center" vertical="center" wrapText="1"/>
      <protection locked="0"/>
    </xf>
    <xf numFmtId="0" fontId="30" fillId="11" borderId="57" xfId="7" applyFont="1" applyFill="1" applyBorder="1" applyAlignment="1" applyProtection="1">
      <alignment horizontal="center" vertical="center" wrapText="1"/>
      <protection locked="0"/>
    </xf>
    <xf numFmtId="0" fontId="29" fillId="11" borderId="19" xfId="7" applyFont="1" applyFill="1" applyBorder="1" applyAlignment="1">
      <alignment horizontal="center" vertical="center" wrapText="1"/>
    </xf>
    <xf numFmtId="0" fontId="29" fillId="11" borderId="19" xfId="7" applyFont="1" applyFill="1" applyBorder="1" applyAlignment="1">
      <alignment horizontal="center" vertical="center" wrapText="1"/>
    </xf>
    <xf numFmtId="0" fontId="29" fillId="11" borderId="58" xfId="7" applyFont="1" applyFill="1" applyBorder="1" applyAlignment="1" applyProtection="1">
      <alignment horizontal="center" vertical="center" wrapText="1"/>
      <protection locked="0"/>
    </xf>
    <xf numFmtId="0" fontId="29" fillId="11" borderId="59" xfId="7" applyFont="1" applyFill="1" applyBorder="1" applyAlignment="1">
      <alignment horizontal="center" vertical="center" wrapText="1"/>
    </xf>
    <xf numFmtId="0" fontId="30" fillId="11" borderId="28" xfId="7" applyFont="1" applyFill="1" applyBorder="1" applyAlignment="1" applyProtection="1">
      <alignment horizontal="center" vertical="center" wrapText="1"/>
      <protection locked="0"/>
    </xf>
    <xf numFmtId="0" fontId="29" fillId="11" borderId="28" xfId="7" applyFont="1" applyFill="1" applyBorder="1" applyAlignment="1" applyProtection="1">
      <alignment horizontal="center" vertical="center" wrapText="1"/>
      <protection locked="0"/>
    </xf>
    <xf numFmtId="49" fontId="30" fillId="11" borderId="60" xfId="7" applyNumberFormat="1" applyFont="1" applyFill="1" applyBorder="1" applyAlignment="1" applyProtection="1">
      <alignment horizontal="center" vertical="center" wrapText="1"/>
      <protection locked="0"/>
    </xf>
    <xf numFmtId="0" fontId="29" fillId="11" borderId="24" xfId="7" applyFont="1" applyFill="1" applyBorder="1" applyAlignment="1">
      <alignment horizontal="center" vertical="center" wrapText="1"/>
    </xf>
    <xf numFmtId="0" fontId="29" fillId="11" borderId="17" xfId="7" applyFont="1" applyFill="1" applyBorder="1" applyAlignment="1">
      <alignment horizontal="center" vertical="center" wrapText="1"/>
    </xf>
    <xf numFmtId="0" fontId="29" fillId="11" borderId="18" xfId="7" applyFont="1" applyFill="1" applyBorder="1" applyAlignment="1">
      <alignment horizontal="center" vertical="center" wrapText="1"/>
    </xf>
    <xf numFmtId="0" fontId="29" fillId="11" borderId="60" xfId="7" applyFont="1" applyFill="1" applyBorder="1" applyAlignment="1">
      <alignment horizontal="center" vertical="center" wrapText="1"/>
    </xf>
    <xf numFmtId="0" fontId="29" fillId="11" borderId="28" xfId="7" applyFont="1" applyFill="1" applyBorder="1" applyAlignment="1">
      <alignment horizontal="center" vertical="center" wrapText="1"/>
    </xf>
    <xf numFmtId="0" fontId="6" fillId="0" borderId="61" xfId="7" applyBorder="1" applyAlignment="1">
      <alignment horizontal="center" wrapText="1"/>
    </xf>
    <xf numFmtId="0" fontId="6" fillId="0" borderId="54" xfId="7" applyBorder="1" applyAlignment="1">
      <alignment wrapText="1"/>
    </xf>
    <xf numFmtId="0" fontId="24" fillId="0" borderId="55" xfId="7" applyFont="1" applyBorder="1" applyAlignment="1">
      <alignment horizontal="center" vertical="center" wrapText="1"/>
    </xf>
    <xf numFmtId="0" fontId="24" fillId="0" borderId="29" xfId="7" applyFont="1" applyBorder="1" applyAlignment="1">
      <alignment horizontal="center" vertical="center" wrapText="1"/>
    </xf>
    <xf numFmtId="0" fontId="24" fillId="0" borderId="29" xfId="7" applyFont="1" applyBorder="1" applyAlignment="1">
      <alignment vertical="center" wrapText="1"/>
    </xf>
    <xf numFmtId="0" fontId="20" fillId="0" borderId="29" xfId="7" applyFont="1" applyBorder="1" applyAlignment="1">
      <alignment horizontal="center" vertical="center" wrapText="1"/>
    </xf>
    <xf numFmtId="0" fontId="20" fillId="0" borderId="56" xfId="7" applyFont="1" applyBorder="1" applyAlignment="1">
      <alignment horizontal="center" vertical="center" wrapText="1"/>
    </xf>
    <xf numFmtId="0" fontId="6" fillId="17" borderId="62" xfId="7" applyFill="1" applyBorder="1" applyAlignment="1">
      <alignment horizontal="center" wrapText="1"/>
    </xf>
    <xf numFmtId="0" fontId="6" fillId="17" borderId="20" xfId="7" applyFill="1" applyBorder="1" applyAlignment="1">
      <alignment horizontal="center" wrapText="1"/>
    </xf>
    <xf numFmtId="0" fontId="6" fillId="17" borderId="63" xfId="7" applyFill="1" applyBorder="1" applyAlignment="1">
      <alignment horizontal="center" wrapText="1"/>
    </xf>
    <xf numFmtId="0" fontId="6" fillId="17" borderId="64" xfId="7" applyFill="1" applyBorder="1" applyAlignment="1">
      <alignment horizontal="center" wrapText="1"/>
    </xf>
    <xf numFmtId="0" fontId="24" fillId="0" borderId="62" xfId="7" applyFont="1" applyBorder="1" applyAlignment="1">
      <alignment horizontal="center" vertical="center" wrapText="1"/>
    </xf>
    <xf numFmtId="0" fontId="20" fillId="0" borderId="1" xfId="7" applyFont="1" applyAlignment="1">
      <alignment horizontal="center" vertical="center" wrapText="1"/>
    </xf>
    <xf numFmtId="0" fontId="20" fillId="0" borderId="20" xfId="7" applyFont="1" applyBorder="1" applyAlignment="1">
      <alignment horizontal="center" vertical="center" wrapText="1"/>
    </xf>
    <xf numFmtId="0" fontId="24" fillId="0" borderId="1" xfId="7" quotePrefix="1" applyFont="1" applyAlignment="1">
      <alignment vertical="center" wrapText="1"/>
    </xf>
    <xf numFmtId="0" fontId="6" fillId="17" borderId="24" xfId="7" applyFill="1" applyBorder="1" applyAlignment="1">
      <alignment horizontal="center" wrapText="1"/>
    </xf>
    <xf numFmtId="0" fontId="6" fillId="17" borderId="18" xfId="7" applyFill="1" applyBorder="1" applyAlignment="1">
      <alignment horizontal="center" wrapText="1"/>
    </xf>
    <xf numFmtId="0" fontId="6" fillId="17" borderId="26" xfId="7" applyFill="1" applyBorder="1" applyAlignment="1">
      <alignment horizontal="center" wrapText="1"/>
    </xf>
    <xf numFmtId="0" fontId="6" fillId="17" borderId="65" xfId="7" applyFill="1" applyBorder="1" applyAlignment="1">
      <alignment horizontal="center" wrapText="1"/>
    </xf>
    <xf numFmtId="0" fontId="24" fillId="0" borderId="58" xfId="7" applyFont="1" applyBorder="1" applyAlignment="1">
      <alignment horizontal="center" vertical="center" wrapText="1"/>
    </xf>
    <xf numFmtId="0" fontId="24" fillId="0" borderId="59" xfId="7" applyFont="1" applyBorder="1" applyAlignment="1">
      <alignment horizontal="center" vertical="center" wrapText="1"/>
    </xf>
    <xf numFmtId="0" fontId="24" fillId="0" borderId="59" xfId="7" applyFont="1" applyBorder="1" applyAlignment="1">
      <alignment vertical="center" wrapText="1"/>
    </xf>
    <xf numFmtId="49" fontId="29" fillId="0" borderId="59" xfId="7" applyNumberFormat="1" applyFont="1" applyBorder="1" applyAlignment="1">
      <alignment vertical="center" wrapText="1"/>
    </xf>
    <xf numFmtId="0" fontId="20" fillId="0" borderId="59" xfId="7" applyFont="1" applyBorder="1" applyAlignment="1">
      <alignment horizontal="center" vertical="center" wrapText="1"/>
    </xf>
    <xf numFmtId="0" fontId="20" fillId="0" borderId="60" xfId="7" applyFont="1" applyBorder="1" applyAlignment="1">
      <alignment horizontal="center" vertical="center" wrapText="1"/>
    </xf>
    <xf numFmtId="49" fontId="24" fillId="18" borderId="1" xfId="7" applyNumberFormat="1" applyFont="1" applyFill="1" applyAlignment="1">
      <alignment horizontal="left" vertical="center" wrapText="1"/>
    </xf>
    <xf numFmtId="9" fontId="29" fillId="19" borderId="23" xfId="8" applyFont="1" applyFill="1" applyBorder="1" applyAlignment="1">
      <alignment horizontal="center" vertical="center" wrapText="1"/>
    </xf>
    <xf numFmtId="2" fontId="29" fillId="11" borderId="21" xfId="7" applyNumberFormat="1" applyFont="1" applyFill="1" applyBorder="1" applyAlignment="1">
      <alignment horizontal="center" vertical="center" wrapText="1"/>
    </xf>
    <xf numFmtId="2" fontId="29" fillId="11" borderId="23" xfId="7" applyNumberFormat="1" applyFont="1" applyFill="1" applyBorder="1" applyAlignment="1">
      <alignment horizontal="center" vertical="center" wrapText="1"/>
    </xf>
    <xf numFmtId="49" fontId="29" fillId="0" borderId="23" xfId="7" applyNumberFormat="1" applyFont="1" applyBorder="1" applyAlignment="1">
      <alignment horizontal="center" vertical="center" wrapText="1"/>
    </xf>
    <xf numFmtId="49" fontId="29" fillId="0" borderId="51" xfId="7" applyNumberFormat="1" applyFont="1" applyBorder="1" applyAlignment="1">
      <alignment horizontal="center" vertical="center" wrapText="1"/>
    </xf>
    <xf numFmtId="0" fontId="29" fillId="0" borderId="66" xfId="7" applyFont="1" applyBorder="1" applyAlignment="1">
      <alignment horizontal="center" vertical="center" wrapText="1"/>
    </xf>
    <xf numFmtId="9" fontId="29" fillId="19" borderId="36" xfId="8" applyFont="1" applyFill="1" applyBorder="1" applyAlignment="1">
      <alignment horizontal="center" vertical="center" wrapText="1"/>
    </xf>
    <xf numFmtId="0" fontId="24" fillId="0" borderId="67" xfId="7" applyFont="1" applyBorder="1" applyAlignment="1">
      <alignment horizontal="center" vertical="center" wrapText="1"/>
    </xf>
    <xf numFmtId="2" fontId="29" fillId="11" borderId="61" xfId="7" applyNumberFormat="1" applyFont="1" applyFill="1" applyBorder="1" applyAlignment="1">
      <alignment horizontal="center" vertical="center" wrapText="1"/>
    </xf>
    <xf numFmtId="2" fontId="29" fillId="11" borderId="36" xfId="7" applyNumberFormat="1" applyFont="1" applyFill="1" applyBorder="1" applyAlignment="1">
      <alignment horizontal="center" vertical="center" wrapText="1"/>
    </xf>
    <xf numFmtId="49" fontId="29" fillId="0" borderId="36" xfId="7" applyNumberFormat="1" applyFont="1" applyBorder="1" applyAlignment="1">
      <alignment horizontal="center" vertical="center" wrapText="1"/>
    </xf>
    <xf numFmtId="49" fontId="29" fillId="0" borderId="54" xfId="7" applyNumberFormat="1" applyFont="1" applyBorder="1" applyAlignment="1">
      <alignment horizontal="center" vertical="center" wrapText="1"/>
    </xf>
    <xf numFmtId="49" fontId="30" fillId="20" borderId="26" xfId="7" applyNumberFormat="1" applyFont="1" applyFill="1" applyBorder="1" applyAlignment="1" applyProtection="1">
      <alignment horizontal="center" vertical="center" wrapText="1"/>
      <protection locked="0"/>
    </xf>
    <xf numFmtId="49" fontId="30" fillId="20" borderId="15" xfId="7" applyNumberFormat="1" applyFont="1" applyFill="1" applyBorder="1" applyAlignment="1" applyProtection="1">
      <alignment horizontal="center" vertical="center" wrapText="1"/>
      <protection locked="0"/>
    </xf>
    <xf numFmtId="49" fontId="30" fillId="20" borderId="65" xfId="7" applyNumberFormat="1" applyFont="1" applyFill="1" applyBorder="1" applyAlignment="1" applyProtection="1">
      <alignment horizontal="center" vertical="center" wrapText="1"/>
      <protection locked="0"/>
    </xf>
    <xf numFmtId="0" fontId="29" fillId="20" borderId="19" xfId="7" applyFont="1" applyFill="1" applyBorder="1" applyAlignment="1" applyProtection="1">
      <alignment horizontal="center" vertical="center" wrapText="1"/>
      <protection locked="0"/>
    </xf>
    <xf numFmtId="49" fontId="30" fillId="20" borderId="58" xfId="7" applyNumberFormat="1" applyFont="1" applyFill="1" applyBorder="1" applyAlignment="1" applyProtection="1">
      <alignment horizontal="center" vertical="center" wrapText="1"/>
      <protection locked="0"/>
    </xf>
    <xf numFmtId="49" fontId="30" fillId="20" borderId="59" xfId="7" applyNumberFormat="1" applyFont="1" applyFill="1" applyBorder="1" applyAlignment="1" applyProtection="1">
      <alignment horizontal="center" vertical="center" wrapText="1"/>
      <protection locked="0"/>
    </xf>
    <xf numFmtId="49" fontId="30" fillId="20" borderId="60" xfId="7" applyNumberFormat="1" applyFont="1" applyFill="1" applyBorder="1" applyAlignment="1" applyProtection="1">
      <alignment horizontal="center" vertical="center" wrapText="1"/>
      <protection locked="0"/>
    </xf>
    <xf numFmtId="0" fontId="29" fillId="20" borderId="28" xfId="7" applyFont="1" applyFill="1" applyBorder="1" applyAlignment="1" applyProtection="1">
      <alignment horizontal="center" vertical="center" wrapText="1"/>
      <protection locked="0"/>
    </xf>
    <xf numFmtId="0" fontId="29" fillId="11" borderId="68" xfId="7" applyFont="1" applyFill="1" applyBorder="1" applyAlignment="1" applyProtection="1">
      <alignment horizontal="center" vertical="center" wrapText="1"/>
      <protection locked="0"/>
    </xf>
    <xf numFmtId="0" fontId="29" fillId="11" borderId="69" xfId="7" applyFont="1" applyFill="1" applyBorder="1" applyAlignment="1" applyProtection="1">
      <alignment horizontal="center" vertical="center" wrapText="1"/>
      <protection locked="0"/>
    </xf>
    <xf numFmtId="0" fontId="29" fillId="11" borderId="70" xfId="7" applyFont="1" applyFill="1" applyBorder="1" applyAlignment="1" applyProtection="1">
      <alignment horizontal="center" vertical="center" wrapText="1"/>
      <protection locked="0"/>
    </xf>
    <xf numFmtId="0" fontId="29" fillId="11" borderId="40" xfId="7" applyFont="1" applyFill="1" applyBorder="1" applyAlignment="1" applyProtection="1">
      <alignment horizontal="center" vertical="center" wrapText="1"/>
      <protection locked="0"/>
    </xf>
    <xf numFmtId="0" fontId="29" fillId="11" borderId="71" xfId="7" applyFont="1" applyFill="1" applyBorder="1" applyAlignment="1" applyProtection="1">
      <alignment horizontal="center" vertical="center" wrapText="1"/>
      <protection locked="0"/>
    </xf>
    <xf numFmtId="0" fontId="29" fillId="11" borderId="72" xfId="7" applyFont="1" applyFill="1" applyBorder="1" applyAlignment="1" applyProtection="1">
      <alignment horizontal="center" vertical="center" wrapText="1"/>
      <protection locked="0"/>
    </xf>
    <xf numFmtId="49" fontId="24" fillId="0" borderId="23" xfId="7" applyNumberFormat="1" applyFont="1" applyBorder="1" applyAlignment="1">
      <alignment horizontal="left" vertical="center" wrapText="1"/>
    </xf>
    <xf numFmtId="166" fontId="32" fillId="0" borderId="36" xfId="7" applyNumberFormat="1" applyFont="1" applyBorder="1" applyAlignment="1">
      <alignment horizontal="center" vertical="center" wrapText="1" shrinkToFit="1"/>
    </xf>
    <xf numFmtId="167" fontId="32" fillId="0" borderId="36" xfId="7" applyNumberFormat="1" applyFont="1" applyBorder="1" applyAlignment="1">
      <alignment horizontal="center" vertical="center" wrapText="1" shrinkToFit="1"/>
    </xf>
    <xf numFmtId="0" fontId="30" fillId="11" borderId="25" xfId="7" applyFont="1" applyFill="1" applyBorder="1" applyAlignment="1" applyProtection="1">
      <alignment horizontal="center" vertical="center" wrapText="1"/>
      <protection locked="0"/>
    </xf>
    <xf numFmtId="0" fontId="29" fillId="11" borderId="25" xfId="7" applyFont="1" applyFill="1" applyBorder="1" applyAlignment="1" applyProtection="1">
      <alignment horizontal="center" vertical="center" wrapText="1"/>
      <protection locked="0"/>
    </xf>
    <xf numFmtId="0" fontId="20" fillId="0" borderId="55" xfId="7" applyFont="1" applyBorder="1" applyAlignment="1">
      <alignment horizontal="center" vertical="center" wrapText="1"/>
    </xf>
    <xf numFmtId="0" fontId="20" fillId="0" borderId="58" xfId="7" applyFont="1" applyBorder="1" applyAlignment="1">
      <alignment horizontal="center" vertical="center" wrapText="1"/>
    </xf>
    <xf numFmtId="0" fontId="20" fillId="0" borderId="62" xfId="7" applyFont="1" applyBorder="1" applyAlignment="1">
      <alignment horizontal="center" vertical="center" wrapText="1"/>
    </xf>
    <xf numFmtId="0" fontId="6" fillId="0" borderId="1" xfId="7" applyAlignment="1">
      <alignment vertical="center" wrapText="1"/>
    </xf>
    <xf numFmtId="0" fontId="6" fillId="0" borderId="23" xfId="7" applyBorder="1" applyAlignment="1">
      <alignment wrapText="1"/>
    </xf>
    <xf numFmtId="0" fontId="24" fillId="0" borderId="23" xfId="7" applyFont="1" applyBorder="1" applyAlignment="1">
      <alignment horizontal="center" vertical="center" wrapText="1"/>
    </xf>
    <xf numFmtId="14" fontId="6" fillId="0" borderId="23" xfId="7" applyNumberFormat="1" applyBorder="1" applyAlignment="1">
      <alignment horizontal="center" wrapText="1"/>
    </xf>
    <xf numFmtId="49" fontId="6" fillId="0" borderId="23" xfId="7" applyNumberFormat="1" applyBorder="1" applyAlignment="1">
      <alignment horizontal="center" wrapText="1"/>
    </xf>
    <xf numFmtId="0" fontId="30" fillId="13" borderId="28" xfId="7" applyFont="1" applyFill="1" applyBorder="1" applyAlignment="1" applyProtection="1">
      <alignment horizontal="center" vertical="center" wrapText="1"/>
      <protection locked="0"/>
    </xf>
    <xf numFmtId="0" fontId="6" fillId="0" borderId="1" xfId="7" applyAlignment="1">
      <alignment horizontal="center"/>
    </xf>
    <xf numFmtId="2" fontId="6" fillId="0" borderId="1" xfId="7" applyNumberFormat="1" applyAlignment="1">
      <alignment horizontal="center"/>
    </xf>
    <xf numFmtId="0" fontId="21" fillId="22" borderId="73" xfId="7" applyFont="1" applyFill="1" applyBorder="1" applyAlignment="1">
      <alignment horizontal="center"/>
    </xf>
    <xf numFmtId="2" fontId="21" fillId="22" borderId="73" xfId="7" applyNumberFormat="1" applyFont="1" applyFill="1" applyBorder="1" applyAlignment="1">
      <alignment horizontal="center"/>
    </xf>
    <xf numFmtId="0" fontId="21" fillId="22" borderId="73" xfId="7" applyFont="1" applyFill="1" applyBorder="1"/>
    <xf numFmtId="0" fontId="21" fillId="22" borderId="53" xfId="7" applyFont="1" applyFill="1" applyBorder="1"/>
    <xf numFmtId="0" fontId="21" fillId="22" borderId="23" xfId="7" applyFont="1" applyFill="1" applyBorder="1" applyAlignment="1">
      <alignment horizontal="center"/>
    </xf>
    <xf numFmtId="2" fontId="21" fillId="22" borderId="23" xfId="7" applyNumberFormat="1" applyFont="1" applyFill="1" applyBorder="1" applyAlignment="1">
      <alignment horizontal="center"/>
    </xf>
    <xf numFmtId="0" fontId="21" fillId="22" borderId="23" xfId="7" applyFont="1" applyFill="1" applyBorder="1"/>
    <xf numFmtId="0" fontId="21" fillId="22" borderId="51" xfId="7" applyFont="1" applyFill="1" applyBorder="1"/>
    <xf numFmtId="2" fontId="21" fillId="22" borderId="23" xfId="7" applyNumberFormat="1" applyFont="1" applyFill="1" applyBorder="1"/>
    <xf numFmtId="0" fontId="17" fillId="22" borderId="74" xfId="7" applyFont="1" applyFill="1" applyBorder="1" applyAlignment="1">
      <alignment horizontal="center"/>
    </xf>
    <xf numFmtId="2" fontId="17" fillId="22" borderId="74" xfId="7" applyNumberFormat="1" applyFont="1" applyFill="1" applyBorder="1" applyAlignment="1">
      <alignment horizontal="center"/>
    </xf>
    <xf numFmtId="0" fontId="17" fillId="22" borderId="75" xfId="7" applyFont="1" applyFill="1" applyBorder="1" applyAlignment="1">
      <alignment horizontal="center"/>
    </xf>
    <xf numFmtId="0" fontId="18" fillId="21" borderId="29" xfId="7" applyFont="1" applyFill="1" applyBorder="1" applyAlignment="1">
      <alignment horizontal="center" wrapText="1"/>
    </xf>
  </cellXfs>
  <cellStyles count="9">
    <cellStyle name="Ênfase1 2" xfId="6" xr:uid="{E8E158B5-7B1B-46D0-98C1-B479A53182E3}"/>
    <cellStyle name="Ênfase2 2" xfId="5" xr:uid="{E3DF0DE7-C80F-4BC9-9240-F2A18D715ACD}"/>
    <cellStyle name="Moeda 2" xfId="3" xr:uid="{B895301F-9245-4911-A00D-880705924248}"/>
    <cellStyle name="Normal" xfId="0" builtinId="0"/>
    <cellStyle name="Normal 2" xfId="1" xr:uid="{625EB7DB-7A26-48F7-9558-764649B8BA46}"/>
    <cellStyle name="Normal 2 2" xfId="4" xr:uid="{5CE7384B-7DD9-4D80-83D4-2EFEE2856341}"/>
    <cellStyle name="Normal 3" xfId="7" xr:uid="{6F5B7AFD-38A8-4C79-83EF-C0363AE47BC8}"/>
    <cellStyle name="Porcentagem 2" xfId="8" xr:uid="{793D5904-0DB6-4677-9F9A-F29053F670B3}"/>
    <cellStyle name="Vírgula 2" xfId="2" xr:uid="{C077AB4C-3363-4270-841A-D7D2724DD2BB}"/>
  </cellStyles>
  <dxfs count="10">
    <dxf>
      <font>
        <b/>
        <i val="0"/>
        <condense val="0"/>
        <extend val="0"/>
      </font>
      <fill>
        <patternFill>
          <bgColor indexed="10"/>
        </patternFill>
      </fill>
    </dxf>
    <dxf>
      <font>
        <b/>
        <i val="0"/>
        <condense val="0"/>
        <extend val="0"/>
      </font>
      <fill>
        <patternFill>
          <bgColor indexed="13"/>
        </patternFill>
      </fill>
    </dxf>
    <dxf>
      <font>
        <b/>
        <i val="0"/>
        <condense val="0"/>
        <extend val="0"/>
      </font>
      <fill>
        <patternFill>
          <bgColor indexed="57"/>
        </patternFill>
      </fill>
    </dxf>
    <dxf>
      <font>
        <b/>
        <i val="0"/>
        <condense val="0"/>
        <extend val="0"/>
      </font>
      <fill>
        <patternFill>
          <bgColor indexed="10"/>
        </patternFill>
      </fill>
    </dxf>
    <dxf>
      <font>
        <b/>
        <i val="0"/>
        <condense val="0"/>
        <extend val="0"/>
      </font>
      <fill>
        <patternFill>
          <bgColor indexed="13"/>
        </patternFill>
      </fill>
    </dxf>
    <dxf>
      <font>
        <b/>
        <i val="0"/>
        <condense val="0"/>
        <extend val="0"/>
      </font>
      <fill>
        <patternFill>
          <bgColor indexed="57"/>
        </patternFill>
      </fill>
    </dxf>
    <dxf>
      <font>
        <b/>
        <i val="0"/>
        <condense val="0"/>
        <extend val="0"/>
      </font>
      <fill>
        <patternFill>
          <bgColor indexed="10"/>
        </patternFill>
      </fill>
    </dxf>
    <dxf>
      <font>
        <b/>
        <i val="0"/>
        <condense val="0"/>
        <extend val="0"/>
      </font>
      <fill>
        <patternFill>
          <bgColor indexed="13"/>
        </patternFill>
      </fill>
    </dxf>
    <dxf>
      <font>
        <b/>
        <i val="0"/>
        <condense val="0"/>
        <extend val="0"/>
      </font>
      <fill>
        <patternFill>
          <bgColor indexed="57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D9E2F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3"/>
          <c:order val="1"/>
          <c:tx>
            <c:strRef>
              <c:f>[1]Status!$E$3</c:f>
              <c:strCache>
                <c:ptCount val="1"/>
                <c:pt idx="0">
                  <c:v>Orçado</c:v>
                </c:pt>
              </c:strCache>
            </c:strRef>
          </c:tx>
          <c:marker>
            <c:symbol val="none"/>
          </c:marker>
          <c:cat>
            <c:strLit>
              <c:ptCount val="3"/>
              <c:pt idx="0">
                <c:v>1</c:v>
              </c:pt>
              <c:pt idx="1">
                <c:v>2</c:v>
              </c:pt>
              <c:pt idx="2">
                <c:v>3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[1]Status!$E$4:$E$13</c15:sqref>
                  </c15:fullRef>
                </c:ext>
              </c:extLst>
              <c:f>[1]Status!$E$4:$E$6</c:f>
              <c:numCache>
                <c:formatCode>General</c:formatCode>
                <c:ptCount val="3"/>
                <c:pt idx="0">
                  <c:v>4000</c:v>
                </c:pt>
                <c:pt idx="1">
                  <c:v>6900</c:v>
                </c:pt>
                <c:pt idx="2">
                  <c:v>10050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3E6-4D7F-9F40-607C5D4E8E6E}"/>
            </c:ext>
          </c:extLst>
        </c:ser>
        <c:ser>
          <c:idx val="4"/>
          <c:order val="2"/>
          <c:tx>
            <c:strRef>
              <c:f>[1]Status!$F$3</c:f>
              <c:strCache>
                <c:ptCount val="1"/>
                <c:pt idx="0">
                  <c:v>Realizado</c:v>
                </c:pt>
              </c:strCache>
            </c:strRef>
          </c:tx>
          <c:marker>
            <c:symbol val="none"/>
          </c:marker>
          <c:cat>
            <c:strLit>
              <c:ptCount val="3"/>
              <c:pt idx="0">
                <c:v>1</c:v>
              </c:pt>
              <c:pt idx="1">
                <c:v>2</c:v>
              </c:pt>
              <c:pt idx="2">
                <c:v>3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[1]Status!$F$4:$F$13</c15:sqref>
                  </c15:fullRef>
                </c:ext>
              </c:extLst>
              <c:f>[1]Status!$F$4:$F$6</c:f>
              <c:numCache>
                <c:formatCode>General</c:formatCode>
                <c:ptCount val="3"/>
                <c:pt idx="0">
                  <c:v>4000</c:v>
                </c:pt>
                <c:pt idx="1">
                  <c:v>7150</c:v>
                </c:pt>
                <c:pt idx="2">
                  <c:v>10300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3E6-4D7F-9F40-607C5D4E8E6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-118521552"/>
        <c:axId val="-118518832"/>
        <c:extLst>
          <c:ext xmlns:c15="http://schemas.microsoft.com/office/drawing/2012/chart" uri="{02D57815-91ED-43cb-92C2-25804820EDAC}">
            <c15:filteredLine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[1]Status!$B$3</c15:sqref>
                        </c15:formulaRef>
                      </c:ext>
                    </c:extLst>
                    <c:strCache>
                      <c:ptCount val="1"/>
                      <c:pt idx="0">
                        <c:v>Mês</c:v>
                      </c:pt>
                    </c:strCache>
                  </c:strRef>
                </c:tx>
                <c:marker>
                  <c:symbol val="none"/>
                </c:marker>
                <c:val>
                  <c:numRef>
                    <c:extLst>
                      <c:ext uri="{02D57815-91ED-43cb-92C2-25804820EDAC}">
                        <c15:fullRef>
                          <c15:sqref>[1]Status!$B$4:$B$13</c15:sqref>
                        </c15:fullRef>
                        <c15:formulaRef>
                          <c15:sqref>[1]Status!$B$4:$B$6</c15:sqref>
                        </c15:formulaRef>
                      </c:ext>
                    </c:extLst>
                    <c:numCache>
                      <c:formatCode>General</c:formatCode>
                      <c:ptCount val="3"/>
                      <c:pt idx="0">
                        <c:v>0</c:v>
                      </c:pt>
                      <c:pt idx="1">
                        <c:v>1</c:v>
                      </c:pt>
                      <c:pt idx="2">
                        <c:v>2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2-93E6-4D7F-9F40-607C5D4E8E6E}"/>
                  </c:ext>
                </c:extLst>
              </c15:ser>
            </c15:filteredLineSeries>
          </c:ext>
        </c:extLst>
      </c:lineChart>
      <c:catAx>
        <c:axId val="-11852155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-118518832"/>
        <c:crosses val="autoZero"/>
        <c:auto val="1"/>
        <c:lblAlgn val="ctr"/>
        <c:lblOffset val="100"/>
        <c:noMultiLvlLbl val="0"/>
      </c:catAx>
      <c:valAx>
        <c:axId val="-11851883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-1185215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11205</xdr:colOff>
      <xdr:row>11</xdr:row>
      <xdr:rowOff>89647</xdr:rowOff>
    </xdr:from>
    <xdr:to>
      <xdr:col>8</xdr:col>
      <xdr:colOff>22411</xdr:colOff>
      <xdr:row>11</xdr:row>
      <xdr:rowOff>89647</xdr:rowOff>
    </xdr:to>
    <xdr:cxnSp macro="">
      <xdr:nvCxnSpPr>
        <xdr:cNvPr id="26" name="Conector de Seta Reta 25">
          <a:extLst>
            <a:ext uri="{FF2B5EF4-FFF2-40B4-BE49-F238E27FC236}">
              <a16:creationId xmlns:a16="http://schemas.microsoft.com/office/drawing/2014/main" id="{9292BBB4-D9ED-4CC8-8C8D-0D0EBF81B061}"/>
            </a:ext>
          </a:extLst>
        </xdr:cNvPr>
        <xdr:cNvCxnSpPr/>
      </xdr:nvCxnSpPr>
      <xdr:spPr>
        <a:xfrm>
          <a:off x="7485529" y="1983441"/>
          <a:ext cx="582706" cy="0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533399</xdr:colOff>
      <xdr:row>13</xdr:row>
      <xdr:rowOff>19529</xdr:rowOff>
    </xdr:from>
    <xdr:to>
      <xdr:col>7</xdr:col>
      <xdr:colOff>560294</xdr:colOff>
      <xdr:row>16</xdr:row>
      <xdr:rowOff>123265</xdr:rowOff>
    </xdr:to>
    <xdr:cxnSp macro="">
      <xdr:nvCxnSpPr>
        <xdr:cNvPr id="27" name="Conector de Seta Reta 26">
          <a:extLst>
            <a:ext uri="{FF2B5EF4-FFF2-40B4-BE49-F238E27FC236}">
              <a16:creationId xmlns:a16="http://schemas.microsoft.com/office/drawing/2014/main" id="{86ACD38A-E73A-4F8E-9C3B-5D47A9BBA745}"/>
            </a:ext>
          </a:extLst>
        </xdr:cNvPr>
        <xdr:cNvCxnSpPr/>
      </xdr:nvCxnSpPr>
      <xdr:spPr>
        <a:xfrm>
          <a:off x="7436223" y="2294323"/>
          <a:ext cx="598395" cy="608001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570859</xdr:colOff>
      <xdr:row>9</xdr:row>
      <xdr:rowOff>149679</xdr:rowOff>
    </xdr:from>
    <xdr:to>
      <xdr:col>10</xdr:col>
      <xdr:colOff>560294</xdr:colOff>
      <xdr:row>9</xdr:row>
      <xdr:rowOff>156882</xdr:rowOff>
    </xdr:to>
    <xdr:cxnSp macro="">
      <xdr:nvCxnSpPr>
        <xdr:cNvPr id="30" name="Conector de Seta Reta 29">
          <a:extLst>
            <a:ext uri="{FF2B5EF4-FFF2-40B4-BE49-F238E27FC236}">
              <a16:creationId xmlns:a16="http://schemas.microsoft.com/office/drawing/2014/main" id="{A0545D48-EB09-4750-9F9B-D1B40D9C56D2}"/>
            </a:ext>
          </a:extLst>
        </xdr:cNvPr>
        <xdr:cNvCxnSpPr/>
      </xdr:nvCxnSpPr>
      <xdr:spPr>
        <a:xfrm>
          <a:off x="9188183" y="1662473"/>
          <a:ext cx="560935" cy="7203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481852</xdr:colOff>
      <xdr:row>21</xdr:row>
      <xdr:rowOff>11205</xdr:rowOff>
    </xdr:from>
    <xdr:to>
      <xdr:col>10</xdr:col>
      <xdr:colOff>559813</xdr:colOff>
      <xdr:row>28</xdr:row>
      <xdr:rowOff>9125</xdr:rowOff>
    </xdr:to>
    <xdr:cxnSp macro="">
      <xdr:nvCxnSpPr>
        <xdr:cNvPr id="32" name="Conector de Seta Reta 31">
          <a:extLst>
            <a:ext uri="{FF2B5EF4-FFF2-40B4-BE49-F238E27FC236}">
              <a16:creationId xmlns:a16="http://schemas.microsoft.com/office/drawing/2014/main" id="{21FF72F3-E500-4C2F-AB7B-0C7357AF4693}"/>
            </a:ext>
          </a:extLst>
        </xdr:cNvPr>
        <xdr:cNvCxnSpPr/>
      </xdr:nvCxnSpPr>
      <xdr:spPr>
        <a:xfrm>
          <a:off x="9099176" y="3574676"/>
          <a:ext cx="649461" cy="1096096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24171</xdr:colOff>
      <xdr:row>19</xdr:row>
      <xdr:rowOff>16167</xdr:rowOff>
    </xdr:from>
    <xdr:to>
      <xdr:col>10</xdr:col>
      <xdr:colOff>526675</xdr:colOff>
      <xdr:row>22</xdr:row>
      <xdr:rowOff>100852</xdr:rowOff>
    </xdr:to>
    <xdr:cxnSp macro="">
      <xdr:nvCxnSpPr>
        <xdr:cNvPr id="35" name="Conector de Seta Reta 34">
          <a:extLst>
            <a:ext uri="{FF2B5EF4-FFF2-40B4-BE49-F238E27FC236}">
              <a16:creationId xmlns:a16="http://schemas.microsoft.com/office/drawing/2014/main" id="{03639AEB-CCB7-4D0B-AB15-1B17843061C5}"/>
            </a:ext>
          </a:extLst>
        </xdr:cNvPr>
        <xdr:cNvCxnSpPr/>
      </xdr:nvCxnSpPr>
      <xdr:spPr>
        <a:xfrm>
          <a:off x="9212995" y="3265873"/>
          <a:ext cx="502504" cy="555332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0</xdr:colOff>
      <xdr:row>21</xdr:row>
      <xdr:rowOff>56029</xdr:rowOff>
    </xdr:from>
    <xdr:to>
      <xdr:col>10</xdr:col>
      <xdr:colOff>560293</xdr:colOff>
      <xdr:row>34</xdr:row>
      <xdr:rowOff>33618</xdr:rowOff>
    </xdr:to>
    <xdr:cxnSp macro="">
      <xdr:nvCxnSpPr>
        <xdr:cNvPr id="36" name="Conector de Seta Reta 35">
          <a:extLst>
            <a:ext uri="{FF2B5EF4-FFF2-40B4-BE49-F238E27FC236}">
              <a16:creationId xmlns:a16="http://schemas.microsoft.com/office/drawing/2014/main" id="{A6071BAD-B674-4D73-80ED-E8D7D067B1DD}"/>
            </a:ext>
          </a:extLst>
        </xdr:cNvPr>
        <xdr:cNvCxnSpPr/>
      </xdr:nvCxnSpPr>
      <xdr:spPr>
        <a:xfrm>
          <a:off x="8617324" y="3619500"/>
          <a:ext cx="1131793" cy="2017059"/>
        </a:xfrm>
        <a:prstGeom prst="straightConnector1">
          <a:avLst/>
        </a:prstGeom>
        <a:ln>
          <a:prstDash val="sysDash"/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11205</xdr:colOff>
      <xdr:row>32</xdr:row>
      <xdr:rowOff>16809</xdr:rowOff>
    </xdr:from>
    <xdr:to>
      <xdr:col>12</xdr:col>
      <xdr:colOff>15206</xdr:colOff>
      <xdr:row>33</xdr:row>
      <xdr:rowOff>145676</xdr:rowOff>
    </xdr:to>
    <xdr:cxnSp macro="">
      <xdr:nvCxnSpPr>
        <xdr:cNvPr id="37" name="Conector de Seta Reta 36">
          <a:extLst>
            <a:ext uri="{FF2B5EF4-FFF2-40B4-BE49-F238E27FC236}">
              <a16:creationId xmlns:a16="http://schemas.microsoft.com/office/drawing/2014/main" id="{E02274FA-D45F-4EC4-93C0-3F359F8BC818}"/>
            </a:ext>
          </a:extLst>
        </xdr:cNvPr>
        <xdr:cNvCxnSpPr/>
      </xdr:nvCxnSpPr>
      <xdr:spPr>
        <a:xfrm flipH="1">
          <a:off x="10343029" y="5305985"/>
          <a:ext cx="4001" cy="285750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11205</xdr:colOff>
      <xdr:row>24</xdr:row>
      <xdr:rowOff>89647</xdr:rowOff>
    </xdr:from>
    <xdr:to>
      <xdr:col>16</xdr:col>
      <xdr:colOff>549088</xdr:colOff>
      <xdr:row>25</xdr:row>
      <xdr:rowOff>0</xdr:rowOff>
    </xdr:to>
    <xdr:cxnSp macro="">
      <xdr:nvCxnSpPr>
        <xdr:cNvPr id="38" name="Conector de Seta Reta 37">
          <a:extLst>
            <a:ext uri="{FF2B5EF4-FFF2-40B4-BE49-F238E27FC236}">
              <a16:creationId xmlns:a16="http://schemas.microsoft.com/office/drawing/2014/main" id="{2E26849A-CD1F-43C7-BB39-168DC7064E46}"/>
            </a:ext>
          </a:extLst>
        </xdr:cNvPr>
        <xdr:cNvCxnSpPr/>
      </xdr:nvCxnSpPr>
      <xdr:spPr>
        <a:xfrm>
          <a:off x="10914529" y="4123765"/>
          <a:ext cx="2252383" cy="67235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33617</xdr:colOff>
      <xdr:row>36</xdr:row>
      <xdr:rowOff>66755</xdr:rowOff>
    </xdr:from>
    <xdr:to>
      <xdr:col>16</xdr:col>
      <xdr:colOff>571018</xdr:colOff>
      <xdr:row>36</xdr:row>
      <xdr:rowOff>78441</xdr:rowOff>
    </xdr:to>
    <xdr:cxnSp macro="">
      <xdr:nvCxnSpPr>
        <xdr:cNvPr id="39" name="Conector de Seta Reta 38">
          <a:extLst>
            <a:ext uri="{FF2B5EF4-FFF2-40B4-BE49-F238E27FC236}">
              <a16:creationId xmlns:a16="http://schemas.microsoft.com/office/drawing/2014/main" id="{619740E5-C00C-42F9-B9A7-643BA35E19E4}"/>
            </a:ext>
          </a:extLst>
        </xdr:cNvPr>
        <xdr:cNvCxnSpPr/>
      </xdr:nvCxnSpPr>
      <xdr:spPr>
        <a:xfrm flipV="1">
          <a:off x="10936941" y="5983461"/>
          <a:ext cx="2251901" cy="11686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11205</xdr:colOff>
      <xdr:row>29</xdr:row>
      <xdr:rowOff>78442</xdr:rowOff>
    </xdr:from>
    <xdr:to>
      <xdr:col>16</xdr:col>
      <xdr:colOff>549088</xdr:colOff>
      <xdr:row>29</xdr:row>
      <xdr:rowOff>89647</xdr:rowOff>
    </xdr:to>
    <xdr:cxnSp macro="">
      <xdr:nvCxnSpPr>
        <xdr:cNvPr id="41" name="Conector de Seta Reta 40">
          <a:extLst>
            <a:ext uri="{FF2B5EF4-FFF2-40B4-BE49-F238E27FC236}">
              <a16:creationId xmlns:a16="http://schemas.microsoft.com/office/drawing/2014/main" id="{FA3C52D2-33C5-42A7-A61D-F7E06E9AF2DB}"/>
            </a:ext>
          </a:extLst>
        </xdr:cNvPr>
        <xdr:cNvCxnSpPr/>
      </xdr:nvCxnSpPr>
      <xdr:spPr>
        <a:xfrm>
          <a:off x="10914529" y="4896971"/>
          <a:ext cx="2252383" cy="11205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533399</xdr:colOff>
      <xdr:row>18</xdr:row>
      <xdr:rowOff>62752</xdr:rowOff>
    </xdr:from>
    <xdr:to>
      <xdr:col>16</xdr:col>
      <xdr:colOff>526676</xdr:colOff>
      <xdr:row>23</xdr:row>
      <xdr:rowOff>0</xdr:rowOff>
    </xdr:to>
    <xdr:cxnSp macro="">
      <xdr:nvCxnSpPr>
        <xdr:cNvPr id="65" name="Conector de Seta Reta 64">
          <a:extLst>
            <a:ext uri="{FF2B5EF4-FFF2-40B4-BE49-F238E27FC236}">
              <a16:creationId xmlns:a16="http://schemas.microsoft.com/office/drawing/2014/main" id="{0F40937E-8E9C-417D-9A01-B5ABF377AD91}"/>
            </a:ext>
          </a:extLst>
        </xdr:cNvPr>
        <xdr:cNvCxnSpPr/>
      </xdr:nvCxnSpPr>
      <xdr:spPr>
        <a:xfrm>
          <a:off x="9150723" y="3155576"/>
          <a:ext cx="3993777" cy="721659"/>
        </a:xfrm>
        <a:prstGeom prst="straightConnector1">
          <a:avLst/>
        </a:prstGeom>
        <a:ln>
          <a:prstDash val="sysDash"/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555812</xdr:colOff>
      <xdr:row>18</xdr:row>
      <xdr:rowOff>112058</xdr:rowOff>
    </xdr:from>
    <xdr:to>
      <xdr:col>16</xdr:col>
      <xdr:colOff>560294</xdr:colOff>
      <xdr:row>22</xdr:row>
      <xdr:rowOff>51548</xdr:rowOff>
    </xdr:to>
    <xdr:cxnSp macro="">
      <xdr:nvCxnSpPr>
        <xdr:cNvPr id="69" name="Conector de Seta Reta 68">
          <a:extLst>
            <a:ext uri="{FF2B5EF4-FFF2-40B4-BE49-F238E27FC236}">
              <a16:creationId xmlns:a16="http://schemas.microsoft.com/office/drawing/2014/main" id="{61FA4880-2321-4E56-B4CA-7988BB0A2388}"/>
            </a:ext>
          </a:extLst>
        </xdr:cNvPr>
        <xdr:cNvCxnSpPr/>
      </xdr:nvCxnSpPr>
      <xdr:spPr>
        <a:xfrm flipV="1">
          <a:off x="10887636" y="3204882"/>
          <a:ext cx="2290482" cy="567019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13447</xdr:colOff>
      <xdr:row>17</xdr:row>
      <xdr:rowOff>123265</xdr:rowOff>
    </xdr:from>
    <xdr:to>
      <xdr:col>17</xdr:col>
      <xdr:colOff>11205</xdr:colOff>
      <xdr:row>18</xdr:row>
      <xdr:rowOff>13447</xdr:rowOff>
    </xdr:to>
    <xdr:cxnSp macro="">
      <xdr:nvCxnSpPr>
        <xdr:cNvPr id="70" name="Conector de Seta Reta 69">
          <a:extLst>
            <a:ext uri="{FF2B5EF4-FFF2-40B4-BE49-F238E27FC236}">
              <a16:creationId xmlns:a16="http://schemas.microsoft.com/office/drawing/2014/main" id="{B3EC22BB-459A-4D66-BF87-85CF4D953860}"/>
            </a:ext>
          </a:extLst>
        </xdr:cNvPr>
        <xdr:cNvCxnSpPr/>
      </xdr:nvCxnSpPr>
      <xdr:spPr>
        <a:xfrm flipV="1">
          <a:off x="9202271" y="3059206"/>
          <a:ext cx="3998258" cy="47065"/>
        </a:xfrm>
        <a:prstGeom prst="straightConnector1">
          <a:avLst/>
        </a:prstGeom>
        <a:ln>
          <a:prstDash val="sysDash"/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22411</xdr:colOff>
      <xdr:row>5</xdr:row>
      <xdr:rowOff>44823</xdr:rowOff>
    </xdr:from>
    <xdr:to>
      <xdr:col>13</xdr:col>
      <xdr:colOff>560294</xdr:colOff>
      <xdr:row>6</xdr:row>
      <xdr:rowOff>179295</xdr:rowOff>
    </xdr:to>
    <xdr:cxnSp macro="">
      <xdr:nvCxnSpPr>
        <xdr:cNvPr id="73" name="Conector de Seta Reta 72">
          <a:extLst>
            <a:ext uri="{FF2B5EF4-FFF2-40B4-BE49-F238E27FC236}">
              <a16:creationId xmlns:a16="http://schemas.microsoft.com/office/drawing/2014/main" id="{C4380DC3-7719-4A80-999B-E09634374C90}"/>
            </a:ext>
          </a:extLst>
        </xdr:cNvPr>
        <xdr:cNvCxnSpPr/>
      </xdr:nvCxnSpPr>
      <xdr:spPr>
        <a:xfrm flipV="1">
          <a:off x="10925735" y="829235"/>
          <a:ext cx="537883" cy="291354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544606</xdr:colOff>
      <xdr:row>5</xdr:row>
      <xdr:rowOff>129989</xdr:rowOff>
    </xdr:from>
    <xdr:to>
      <xdr:col>14</xdr:col>
      <xdr:colOff>549089</xdr:colOff>
      <xdr:row>7</xdr:row>
      <xdr:rowOff>11206</xdr:rowOff>
    </xdr:to>
    <xdr:cxnSp macro="">
      <xdr:nvCxnSpPr>
        <xdr:cNvPr id="76" name="Conector de Seta Reta 75">
          <a:extLst>
            <a:ext uri="{FF2B5EF4-FFF2-40B4-BE49-F238E27FC236}">
              <a16:creationId xmlns:a16="http://schemas.microsoft.com/office/drawing/2014/main" id="{BD32DB42-090F-4469-AF50-A5D40DBEB701}"/>
            </a:ext>
          </a:extLst>
        </xdr:cNvPr>
        <xdr:cNvCxnSpPr/>
      </xdr:nvCxnSpPr>
      <xdr:spPr>
        <a:xfrm>
          <a:off x="12019430" y="914401"/>
          <a:ext cx="4483" cy="228599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22411</xdr:colOff>
      <xdr:row>10</xdr:row>
      <xdr:rowOff>156882</xdr:rowOff>
    </xdr:from>
    <xdr:to>
      <xdr:col>13</xdr:col>
      <xdr:colOff>549088</xdr:colOff>
      <xdr:row>17</xdr:row>
      <xdr:rowOff>0</xdr:rowOff>
    </xdr:to>
    <xdr:cxnSp macro="">
      <xdr:nvCxnSpPr>
        <xdr:cNvPr id="78" name="Conector de Seta Reta 77">
          <a:extLst>
            <a:ext uri="{FF2B5EF4-FFF2-40B4-BE49-F238E27FC236}">
              <a16:creationId xmlns:a16="http://schemas.microsoft.com/office/drawing/2014/main" id="{D3BDD575-8995-4D04-AE0E-E13553D7A049}"/>
            </a:ext>
          </a:extLst>
        </xdr:cNvPr>
        <xdr:cNvCxnSpPr/>
      </xdr:nvCxnSpPr>
      <xdr:spPr>
        <a:xfrm flipV="1">
          <a:off x="9211235" y="1860176"/>
          <a:ext cx="2241177" cy="1075765"/>
        </a:xfrm>
        <a:prstGeom prst="straightConnector1">
          <a:avLst/>
        </a:prstGeom>
        <a:ln>
          <a:prstDash val="sysDash"/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555811</xdr:colOff>
      <xdr:row>19</xdr:row>
      <xdr:rowOff>123265</xdr:rowOff>
    </xdr:from>
    <xdr:to>
      <xdr:col>20</xdr:col>
      <xdr:colOff>11205</xdr:colOff>
      <xdr:row>19</xdr:row>
      <xdr:rowOff>129989</xdr:rowOff>
    </xdr:to>
    <xdr:cxnSp macro="">
      <xdr:nvCxnSpPr>
        <xdr:cNvPr id="83" name="Conector de Seta Reta 82">
          <a:extLst>
            <a:ext uri="{FF2B5EF4-FFF2-40B4-BE49-F238E27FC236}">
              <a16:creationId xmlns:a16="http://schemas.microsoft.com/office/drawing/2014/main" id="{D9888F43-B783-416F-BD63-8FE334D48D90}"/>
            </a:ext>
          </a:extLst>
        </xdr:cNvPr>
        <xdr:cNvCxnSpPr/>
      </xdr:nvCxnSpPr>
      <xdr:spPr>
        <a:xfrm flipV="1">
          <a:off x="14316635" y="3372971"/>
          <a:ext cx="598394" cy="6724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298075</xdr:colOff>
      <xdr:row>21</xdr:row>
      <xdr:rowOff>17929</xdr:rowOff>
    </xdr:from>
    <xdr:to>
      <xdr:col>8</xdr:col>
      <xdr:colOff>302558</xdr:colOff>
      <xdr:row>35</xdr:row>
      <xdr:rowOff>123264</xdr:rowOff>
    </xdr:to>
    <xdr:cxnSp macro="">
      <xdr:nvCxnSpPr>
        <xdr:cNvPr id="85" name="Conector de Seta Reta 84">
          <a:extLst>
            <a:ext uri="{FF2B5EF4-FFF2-40B4-BE49-F238E27FC236}">
              <a16:creationId xmlns:a16="http://schemas.microsoft.com/office/drawing/2014/main" id="{2801DF9B-7336-4965-9158-453FDAC38679}"/>
            </a:ext>
          </a:extLst>
        </xdr:cNvPr>
        <xdr:cNvCxnSpPr/>
      </xdr:nvCxnSpPr>
      <xdr:spPr>
        <a:xfrm>
          <a:off x="8343899" y="3581400"/>
          <a:ext cx="4483" cy="2301688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33617</xdr:colOff>
      <xdr:row>14</xdr:row>
      <xdr:rowOff>89648</xdr:rowOff>
    </xdr:from>
    <xdr:to>
      <xdr:col>14</xdr:col>
      <xdr:colOff>0</xdr:colOff>
      <xdr:row>17</xdr:row>
      <xdr:rowOff>100853</xdr:rowOff>
    </xdr:to>
    <xdr:cxnSp macro="">
      <xdr:nvCxnSpPr>
        <xdr:cNvPr id="87" name="Conector de Seta Reta 86">
          <a:extLst>
            <a:ext uri="{FF2B5EF4-FFF2-40B4-BE49-F238E27FC236}">
              <a16:creationId xmlns:a16="http://schemas.microsoft.com/office/drawing/2014/main" id="{757D563F-C05B-4950-9804-1D0134D81026}"/>
            </a:ext>
          </a:extLst>
        </xdr:cNvPr>
        <xdr:cNvCxnSpPr/>
      </xdr:nvCxnSpPr>
      <xdr:spPr>
        <a:xfrm flipV="1">
          <a:off x="9222441" y="2554942"/>
          <a:ext cx="2252383" cy="481852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551329</xdr:colOff>
      <xdr:row>21</xdr:row>
      <xdr:rowOff>2242</xdr:rowOff>
    </xdr:from>
    <xdr:to>
      <xdr:col>19</xdr:col>
      <xdr:colOff>560294</xdr:colOff>
      <xdr:row>23</xdr:row>
      <xdr:rowOff>22412</xdr:rowOff>
    </xdr:to>
    <xdr:cxnSp macro="">
      <xdr:nvCxnSpPr>
        <xdr:cNvPr id="90" name="Conector de Seta Reta 89">
          <a:extLst>
            <a:ext uri="{FF2B5EF4-FFF2-40B4-BE49-F238E27FC236}">
              <a16:creationId xmlns:a16="http://schemas.microsoft.com/office/drawing/2014/main" id="{05FE1D20-70AB-47E1-9643-BF2260E6DA46}"/>
            </a:ext>
          </a:extLst>
        </xdr:cNvPr>
        <xdr:cNvCxnSpPr/>
      </xdr:nvCxnSpPr>
      <xdr:spPr>
        <a:xfrm>
          <a:off x="14312153" y="3565713"/>
          <a:ext cx="580465" cy="333934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33617</xdr:colOff>
      <xdr:row>24</xdr:row>
      <xdr:rowOff>58271</xdr:rowOff>
    </xdr:from>
    <xdr:to>
      <xdr:col>19</xdr:col>
      <xdr:colOff>555812</xdr:colOff>
      <xdr:row>24</xdr:row>
      <xdr:rowOff>78441</xdr:rowOff>
    </xdr:to>
    <xdr:cxnSp macro="">
      <xdr:nvCxnSpPr>
        <xdr:cNvPr id="92" name="Conector de Seta Reta 91">
          <a:extLst>
            <a:ext uri="{FF2B5EF4-FFF2-40B4-BE49-F238E27FC236}">
              <a16:creationId xmlns:a16="http://schemas.microsoft.com/office/drawing/2014/main" id="{FB98C289-0825-4F3C-A27C-A379584EC248}"/>
            </a:ext>
          </a:extLst>
        </xdr:cNvPr>
        <xdr:cNvCxnSpPr/>
      </xdr:nvCxnSpPr>
      <xdr:spPr>
        <a:xfrm flipV="1">
          <a:off x="14365941" y="4092389"/>
          <a:ext cx="522195" cy="20170"/>
        </a:xfrm>
        <a:prstGeom prst="straightConnector1">
          <a:avLst/>
        </a:prstGeom>
        <a:ln>
          <a:prstDash val="sysDash"/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537882</xdr:colOff>
      <xdr:row>31</xdr:row>
      <xdr:rowOff>145677</xdr:rowOff>
    </xdr:from>
    <xdr:to>
      <xdr:col>14</xdr:col>
      <xdr:colOff>280147</xdr:colOff>
      <xdr:row>40</xdr:row>
      <xdr:rowOff>134471</xdr:rowOff>
    </xdr:to>
    <xdr:cxnSp macro="">
      <xdr:nvCxnSpPr>
        <xdr:cNvPr id="95" name="Conector de Seta Reta 94">
          <a:extLst>
            <a:ext uri="{FF2B5EF4-FFF2-40B4-BE49-F238E27FC236}">
              <a16:creationId xmlns:a16="http://schemas.microsoft.com/office/drawing/2014/main" id="{17FD380A-4E71-46E9-BF2D-9B4179B805F5}"/>
            </a:ext>
          </a:extLst>
        </xdr:cNvPr>
        <xdr:cNvCxnSpPr/>
      </xdr:nvCxnSpPr>
      <xdr:spPr>
        <a:xfrm>
          <a:off x="10869706" y="5277971"/>
          <a:ext cx="885265" cy="1400735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22411</xdr:colOff>
      <xdr:row>14</xdr:row>
      <xdr:rowOff>67235</xdr:rowOff>
    </xdr:from>
    <xdr:to>
      <xdr:col>19</xdr:col>
      <xdr:colOff>549088</xdr:colOff>
      <xdr:row>17</xdr:row>
      <xdr:rowOff>0</xdr:rowOff>
    </xdr:to>
    <xdr:cxnSp macro="">
      <xdr:nvCxnSpPr>
        <xdr:cNvPr id="101" name="Conector de Seta Reta 100">
          <a:extLst>
            <a:ext uri="{FF2B5EF4-FFF2-40B4-BE49-F238E27FC236}">
              <a16:creationId xmlns:a16="http://schemas.microsoft.com/office/drawing/2014/main" id="{FA601A3D-1033-4A63-B5AE-EDB856CC45F7}"/>
            </a:ext>
          </a:extLst>
        </xdr:cNvPr>
        <xdr:cNvCxnSpPr/>
      </xdr:nvCxnSpPr>
      <xdr:spPr>
        <a:xfrm flipV="1">
          <a:off x="14354735" y="2532529"/>
          <a:ext cx="526677" cy="403412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567017</xdr:colOff>
      <xdr:row>18</xdr:row>
      <xdr:rowOff>141194</xdr:rowOff>
    </xdr:from>
    <xdr:to>
      <xdr:col>23</xdr:col>
      <xdr:colOff>0</xdr:colOff>
      <xdr:row>19</xdr:row>
      <xdr:rowOff>0</xdr:rowOff>
    </xdr:to>
    <xdr:cxnSp macro="">
      <xdr:nvCxnSpPr>
        <xdr:cNvPr id="105" name="Conector de Seta Reta 104">
          <a:extLst>
            <a:ext uri="{FF2B5EF4-FFF2-40B4-BE49-F238E27FC236}">
              <a16:creationId xmlns:a16="http://schemas.microsoft.com/office/drawing/2014/main" id="{F804A308-9DB4-424F-A16A-62C4FAED5CE6}"/>
            </a:ext>
          </a:extLst>
        </xdr:cNvPr>
        <xdr:cNvCxnSpPr/>
      </xdr:nvCxnSpPr>
      <xdr:spPr>
        <a:xfrm>
          <a:off x="16042341" y="3234018"/>
          <a:ext cx="575983" cy="15688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298075</xdr:colOff>
      <xdr:row>9</xdr:row>
      <xdr:rowOff>168088</xdr:rowOff>
    </xdr:from>
    <xdr:to>
      <xdr:col>20</xdr:col>
      <xdr:colOff>22411</xdr:colOff>
      <xdr:row>16</xdr:row>
      <xdr:rowOff>141194</xdr:rowOff>
    </xdr:to>
    <xdr:cxnSp macro="">
      <xdr:nvCxnSpPr>
        <xdr:cNvPr id="108" name="Conector de Seta Reta 107">
          <a:extLst>
            <a:ext uri="{FF2B5EF4-FFF2-40B4-BE49-F238E27FC236}">
              <a16:creationId xmlns:a16="http://schemas.microsoft.com/office/drawing/2014/main" id="{A5EDAF7B-EC42-4C05-BB01-8B716CBD8928}"/>
            </a:ext>
          </a:extLst>
        </xdr:cNvPr>
        <xdr:cNvCxnSpPr/>
      </xdr:nvCxnSpPr>
      <xdr:spPr>
        <a:xfrm flipV="1">
          <a:off x="14058899" y="1680882"/>
          <a:ext cx="867336" cy="1239371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2239</xdr:colOff>
      <xdr:row>1</xdr:row>
      <xdr:rowOff>78442</xdr:rowOff>
    </xdr:from>
    <xdr:to>
      <xdr:col>23</xdr:col>
      <xdr:colOff>22411</xdr:colOff>
      <xdr:row>8</xdr:row>
      <xdr:rowOff>2244</xdr:rowOff>
    </xdr:to>
    <xdr:cxnSp macro="">
      <xdr:nvCxnSpPr>
        <xdr:cNvPr id="110" name="Conector de Seta Reta 109">
          <a:extLst>
            <a:ext uri="{FF2B5EF4-FFF2-40B4-BE49-F238E27FC236}">
              <a16:creationId xmlns:a16="http://schemas.microsoft.com/office/drawing/2014/main" id="{5DFE2628-3A1E-4D91-AE98-BCD5059C794A}"/>
            </a:ext>
          </a:extLst>
        </xdr:cNvPr>
        <xdr:cNvCxnSpPr/>
      </xdr:nvCxnSpPr>
      <xdr:spPr>
        <a:xfrm flipV="1">
          <a:off x="12620063" y="235324"/>
          <a:ext cx="4020672" cy="1089214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22</xdr:col>
      <xdr:colOff>6723</xdr:colOff>
      <xdr:row>3</xdr:row>
      <xdr:rowOff>78441</xdr:rowOff>
    </xdr:from>
    <xdr:to>
      <xdr:col>23</xdr:col>
      <xdr:colOff>0</xdr:colOff>
      <xdr:row>5</xdr:row>
      <xdr:rowOff>129988</xdr:rowOff>
    </xdr:to>
    <xdr:cxnSp macro="">
      <xdr:nvCxnSpPr>
        <xdr:cNvPr id="113" name="Conector de Seta Reta 112">
          <a:extLst>
            <a:ext uri="{FF2B5EF4-FFF2-40B4-BE49-F238E27FC236}">
              <a16:creationId xmlns:a16="http://schemas.microsoft.com/office/drawing/2014/main" id="{E72A1BD0-9843-460F-97AC-2ED5CED324E0}"/>
            </a:ext>
          </a:extLst>
        </xdr:cNvPr>
        <xdr:cNvCxnSpPr/>
      </xdr:nvCxnSpPr>
      <xdr:spPr>
        <a:xfrm flipV="1">
          <a:off x="16053547" y="549088"/>
          <a:ext cx="564777" cy="365312"/>
        </a:xfrm>
        <a:prstGeom prst="straightConnector1">
          <a:avLst/>
        </a:prstGeom>
        <a:ln>
          <a:prstDash val="sysDash"/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114298</xdr:colOff>
      <xdr:row>31</xdr:row>
      <xdr:rowOff>13447</xdr:rowOff>
    </xdr:from>
    <xdr:to>
      <xdr:col>8</xdr:col>
      <xdr:colOff>33617</xdr:colOff>
      <xdr:row>48</xdr:row>
      <xdr:rowOff>123265</xdr:rowOff>
    </xdr:to>
    <xdr:cxnSp macro="">
      <xdr:nvCxnSpPr>
        <xdr:cNvPr id="115" name="Conector de Seta Reta 114">
          <a:extLst>
            <a:ext uri="{FF2B5EF4-FFF2-40B4-BE49-F238E27FC236}">
              <a16:creationId xmlns:a16="http://schemas.microsoft.com/office/drawing/2014/main" id="{553963F8-FA53-4A04-97C6-A2797A8CE2FF}"/>
            </a:ext>
          </a:extLst>
        </xdr:cNvPr>
        <xdr:cNvCxnSpPr/>
      </xdr:nvCxnSpPr>
      <xdr:spPr>
        <a:xfrm>
          <a:off x="7017122" y="5145741"/>
          <a:ext cx="1062319" cy="2776818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569256</xdr:colOff>
      <xdr:row>43</xdr:row>
      <xdr:rowOff>134471</xdr:rowOff>
    </xdr:from>
    <xdr:to>
      <xdr:col>22</xdr:col>
      <xdr:colOff>560294</xdr:colOff>
      <xdr:row>49</xdr:row>
      <xdr:rowOff>143435</xdr:rowOff>
    </xdr:to>
    <xdr:cxnSp macro="">
      <xdr:nvCxnSpPr>
        <xdr:cNvPr id="117" name="Conector de Seta Reta 116">
          <a:extLst>
            <a:ext uri="{FF2B5EF4-FFF2-40B4-BE49-F238E27FC236}">
              <a16:creationId xmlns:a16="http://schemas.microsoft.com/office/drawing/2014/main" id="{5782B99E-8EE9-4FB4-89A3-6BF37F752E00}"/>
            </a:ext>
          </a:extLst>
        </xdr:cNvPr>
        <xdr:cNvCxnSpPr/>
      </xdr:nvCxnSpPr>
      <xdr:spPr>
        <a:xfrm flipV="1">
          <a:off x="9186580" y="7149353"/>
          <a:ext cx="7420538" cy="950258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569258</xdr:colOff>
      <xdr:row>27</xdr:row>
      <xdr:rowOff>20171</xdr:rowOff>
    </xdr:from>
    <xdr:to>
      <xdr:col>24</xdr:col>
      <xdr:colOff>11205</xdr:colOff>
      <xdr:row>31</xdr:row>
      <xdr:rowOff>33618</xdr:rowOff>
    </xdr:to>
    <xdr:cxnSp macro="">
      <xdr:nvCxnSpPr>
        <xdr:cNvPr id="121" name="Conector de Seta Reta 120">
          <a:extLst>
            <a:ext uri="{FF2B5EF4-FFF2-40B4-BE49-F238E27FC236}">
              <a16:creationId xmlns:a16="http://schemas.microsoft.com/office/drawing/2014/main" id="{C267ECD9-D461-4A9F-B391-0D604FA36ABB}"/>
            </a:ext>
          </a:extLst>
        </xdr:cNvPr>
        <xdr:cNvCxnSpPr/>
      </xdr:nvCxnSpPr>
      <xdr:spPr>
        <a:xfrm>
          <a:off x="16044582" y="4524936"/>
          <a:ext cx="1156447" cy="640976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4480</xdr:colOff>
      <xdr:row>35</xdr:row>
      <xdr:rowOff>11205</xdr:rowOff>
    </xdr:from>
    <xdr:to>
      <xdr:col>24</xdr:col>
      <xdr:colOff>313764</xdr:colOff>
      <xdr:row>52</xdr:row>
      <xdr:rowOff>116541</xdr:rowOff>
    </xdr:to>
    <xdr:cxnSp macro="">
      <xdr:nvCxnSpPr>
        <xdr:cNvPr id="123" name="Conector de Seta Reta 122">
          <a:extLst>
            <a:ext uri="{FF2B5EF4-FFF2-40B4-BE49-F238E27FC236}">
              <a16:creationId xmlns:a16="http://schemas.microsoft.com/office/drawing/2014/main" id="{361E6482-C86E-4A2F-BD76-A7DA0ABF0E3E}"/>
            </a:ext>
          </a:extLst>
        </xdr:cNvPr>
        <xdr:cNvCxnSpPr/>
      </xdr:nvCxnSpPr>
      <xdr:spPr>
        <a:xfrm flipV="1">
          <a:off x="9193304" y="5771029"/>
          <a:ext cx="8310284" cy="2772336"/>
        </a:xfrm>
        <a:prstGeom prst="straightConnector1">
          <a:avLst/>
        </a:prstGeom>
        <a:ln>
          <a:prstDash val="sysDash"/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17929</xdr:colOff>
      <xdr:row>34</xdr:row>
      <xdr:rowOff>145677</xdr:rowOff>
    </xdr:from>
    <xdr:to>
      <xdr:col>23</xdr:col>
      <xdr:colOff>549088</xdr:colOff>
      <xdr:row>42</xdr:row>
      <xdr:rowOff>51547</xdr:rowOff>
    </xdr:to>
    <xdr:cxnSp macro="">
      <xdr:nvCxnSpPr>
        <xdr:cNvPr id="126" name="Conector de Seta Reta 125">
          <a:extLst>
            <a:ext uri="{FF2B5EF4-FFF2-40B4-BE49-F238E27FC236}">
              <a16:creationId xmlns:a16="http://schemas.microsoft.com/office/drawing/2014/main" id="{7E1F7B6F-B623-49F7-A141-6D4AC3E872C7}"/>
            </a:ext>
          </a:extLst>
        </xdr:cNvPr>
        <xdr:cNvCxnSpPr/>
      </xdr:nvCxnSpPr>
      <xdr:spPr>
        <a:xfrm flipV="1">
          <a:off x="12635753" y="5748618"/>
          <a:ext cx="4531659" cy="1160929"/>
        </a:xfrm>
        <a:prstGeom prst="straightConnector1">
          <a:avLst/>
        </a:prstGeom>
        <a:ln>
          <a:prstDash val="sysDash"/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378759</xdr:colOff>
      <xdr:row>27</xdr:row>
      <xdr:rowOff>0</xdr:rowOff>
    </xdr:from>
    <xdr:to>
      <xdr:col>25</xdr:col>
      <xdr:colOff>537882</xdr:colOff>
      <xdr:row>30</xdr:row>
      <xdr:rowOff>121025</xdr:rowOff>
    </xdr:to>
    <xdr:cxnSp macro="">
      <xdr:nvCxnSpPr>
        <xdr:cNvPr id="129" name="Conector de Seta Reta 128">
          <a:extLst>
            <a:ext uri="{FF2B5EF4-FFF2-40B4-BE49-F238E27FC236}">
              <a16:creationId xmlns:a16="http://schemas.microsoft.com/office/drawing/2014/main" id="{301E6843-BFC6-4F4F-A180-A9FE311B5443}"/>
            </a:ext>
          </a:extLst>
        </xdr:cNvPr>
        <xdr:cNvCxnSpPr/>
      </xdr:nvCxnSpPr>
      <xdr:spPr>
        <a:xfrm flipV="1">
          <a:off x="17568583" y="4504765"/>
          <a:ext cx="730623" cy="591672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22</xdr:col>
      <xdr:colOff>4482</xdr:colOff>
      <xdr:row>24</xdr:row>
      <xdr:rowOff>71718</xdr:rowOff>
    </xdr:from>
    <xdr:to>
      <xdr:col>26</xdr:col>
      <xdr:colOff>0</xdr:colOff>
      <xdr:row>24</xdr:row>
      <xdr:rowOff>78441</xdr:rowOff>
    </xdr:to>
    <xdr:cxnSp macro="">
      <xdr:nvCxnSpPr>
        <xdr:cNvPr id="132" name="Conector de Seta Reta 131">
          <a:extLst>
            <a:ext uri="{FF2B5EF4-FFF2-40B4-BE49-F238E27FC236}">
              <a16:creationId xmlns:a16="http://schemas.microsoft.com/office/drawing/2014/main" id="{24B5E813-6320-4CD8-B43C-D69E08DEF2FB}"/>
            </a:ext>
          </a:extLst>
        </xdr:cNvPr>
        <xdr:cNvCxnSpPr/>
      </xdr:nvCxnSpPr>
      <xdr:spPr>
        <a:xfrm>
          <a:off x="16051306" y="4105836"/>
          <a:ext cx="2281518" cy="6723"/>
        </a:xfrm>
        <a:prstGeom prst="straightConnector1">
          <a:avLst/>
        </a:prstGeom>
        <a:ln>
          <a:prstDash val="sysDash"/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15688</xdr:colOff>
      <xdr:row>26</xdr:row>
      <xdr:rowOff>150161</xdr:rowOff>
    </xdr:from>
    <xdr:to>
      <xdr:col>28</xdr:col>
      <xdr:colOff>560294</xdr:colOff>
      <xdr:row>30</xdr:row>
      <xdr:rowOff>0</xdr:rowOff>
    </xdr:to>
    <xdr:cxnSp macro="">
      <xdr:nvCxnSpPr>
        <xdr:cNvPr id="134" name="Conector de Seta Reta 133">
          <a:extLst>
            <a:ext uri="{FF2B5EF4-FFF2-40B4-BE49-F238E27FC236}">
              <a16:creationId xmlns:a16="http://schemas.microsoft.com/office/drawing/2014/main" id="{C9C93997-E3AF-4992-9890-009FC0E1C0C7}"/>
            </a:ext>
          </a:extLst>
        </xdr:cNvPr>
        <xdr:cNvCxnSpPr/>
      </xdr:nvCxnSpPr>
      <xdr:spPr>
        <a:xfrm>
          <a:off x="19491512" y="4498043"/>
          <a:ext cx="544606" cy="477369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38100</xdr:colOff>
      <xdr:row>33</xdr:row>
      <xdr:rowOff>0</xdr:rowOff>
    </xdr:from>
    <xdr:to>
      <xdr:col>29</xdr:col>
      <xdr:colOff>0</xdr:colOff>
      <xdr:row>33</xdr:row>
      <xdr:rowOff>82925</xdr:rowOff>
    </xdr:to>
    <xdr:cxnSp macro="">
      <xdr:nvCxnSpPr>
        <xdr:cNvPr id="137" name="Conector de Seta Reta 136">
          <a:extLst>
            <a:ext uri="{FF2B5EF4-FFF2-40B4-BE49-F238E27FC236}">
              <a16:creationId xmlns:a16="http://schemas.microsoft.com/office/drawing/2014/main" id="{D9815736-6F61-47A6-B4BE-0E8BA3110EC8}"/>
            </a:ext>
          </a:extLst>
        </xdr:cNvPr>
        <xdr:cNvCxnSpPr/>
      </xdr:nvCxnSpPr>
      <xdr:spPr>
        <a:xfrm flipV="1">
          <a:off x="18370924" y="5446059"/>
          <a:ext cx="1676400" cy="82925"/>
        </a:xfrm>
        <a:prstGeom prst="straightConnector1">
          <a:avLst/>
        </a:prstGeom>
        <a:ln>
          <a:prstDash val="sysDash"/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29</xdr:col>
      <xdr:colOff>156882</xdr:colOff>
      <xdr:row>34</xdr:row>
      <xdr:rowOff>11207</xdr:rowOff>
    </xdr:from>
    <xdr:to>
      <xdr:col>30</xdr:col>
      <xdr:colOff>89647</xdr:colOff>
      <xdr:row>38</xdr:row>
      <xdr:rowOff>145676</xdr:rowOff>
    </xdr:to>
    <xdr:cxnSp macro="">
      <xdr:nvCxnSpPr>
        <xdr:cNvPr id="139" name="Conector de Seta Reta 138">
          <a:extLst>
            <a:ext uri="{FF2B5EF4-FFF2-40B4-BE49-F238E27FC236}">
              <a16:creationId xmlns:a16="http://schemas.microsoft.com/office/drawing/2014/main" id="{1C5C9316-47A8-4A53-AFB4-4F0D3D6994AB}"/>
            </a:ext>
          </a:extLst>
        </xdr:cNvPr>
        <xdr:cNvCxnSpPr/>
      </xdr:nvCxnSpPr>
      <xdr:spPr>
        <a:xfrm>
          <a:off x="20204206" y="5614148"/>
          <a:ext cx="504265" cy="761999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11206</xdr:colOff>
      <xdr:row>34</xdr:row>
      <xdr:rowOff>123268</xdr:rowOff>
    </xdr:from>
    <xdr:to>
      <xdr:col>30</xdr:col>
      <xdr:colOff>11205</xdr:colOff>
      <xdr:row>40</xdr:row>
      <xdr:rowOff>44824</xdr:rowOff>
    </xdr:to>
    <xdr:cxnSp macro="">
      <xdr:nvCxnSpPr>
        <xdr:cNvPr id="141" name="Conector de Seta Reta 140">
          <a:extLst>
            <a:ext uri="{FF2B5EF4-FFF2-40B4-BE49-F238E27FC236}">
              <a16:creationId xmlns:a16="http://schemas.microsoft.com/office/drawing/2014/main" id="{8C367826-0A60-4B63-9F5A-4EFCC286BEA3}"/>
            </a:ext>
          </a:extLst>
        </xdr:cNvPr>
        <xdr:cNvCxnSpPr/>
      </xdr:nvCxnSpPr>
      <xdr:spPr>
        <a:xfrm>
          <a:off x="18344030" y="5726209"/>
          <a:ext cx="2285999" cy="862850"/>
        </a:xfrm>
        <a:prstGeom prst="straightConnector1">
          <a:avLst/>
        </a:prstGeom>
        <a:ln>
          <a:prstDash val="sysDash"/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33617</xdr:colOff>
      <xdr:row>47</xdr:row>
      <xdr:rowOff>22412</xdr:rowOff>
    </xdr:from>
    <xdr:to>
      <xdr:col>34</xdr:col>
      <xdr:colOff>22411</xdr:colOff>
      <xdr:row>52</xdr:row>
      <xdr:rowOff>22412</xdr:rowOff>
    </xdr:to>
    <xdr:cxnSp macro="">
      <xdr:nvCxnSpPr>
        <xdr:cNvPr id="143" name="Conector de Seta Reta 142">
          <a:extLst>
            <a:ext uri="{FF2B5EF4-FFF2-40B4-BE49-F238E27FC236}">
              <a16:creationId xmlns:a16="http://schemas.microsoft.com/office/drawing/2014/main" id="{AFEBCD64-73E7-4951-96B4-5B2E554A783D}"/>
            </a:ext>
          </a:extLst>
        </xdr:cNvPr>
        <xdr:cNvCxnSpPr/>
      </xdr:nvCxnSpPr>
      <xdr:spPr>
        <a:xfrm flipV="1">
          <a:off x="9222441" y="7664824"/>
          <a:ext cx="13704794" cy="784412"/>
        </a:xfrm>
        <a:prstGeom prst="straightConnector1">
          <a:avLst/>
        </a:prstGeom>
        <a:ln>
          <a:prstDash val="sysDash"/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31</xdr:col>
      <xdr:colOff>11206</xdr:colOff>
      <xdr:row>32</xdr:row>
      <xdr:rowOff>100855</xdr:rowOff>
    </xdr:from>
    <xdr:to>
      <xdr:col>34</xdr:col>
      <xdr:colOff>89647</xdr:colOff>
      <xdr:row>44</xdr:row>
      <xdr:rowOff>11206</xdr:rowOff>
    </xdr:to>
    <xdr:cxnSp macro="">
      <xdr:nvCxnSpPr>
        <xdr:cNvPr id="149" name="Conector de Seta Reta 148">
          <a:extLst>
            <a:ext uri="{FF2B5EF4-FFF2-40B4-BE49-F238E27FC236}">
              <a16:creationId xmlns:a16="http://schemas.microsoft.com/office/drawing/2014/main" id="{5AE275D5-B1A9-44E8-A0F0-2378AE8E2845}"/>
            </a:ext>
          </a:extLst>
        </xdr:cNvPr>
        <xdr:cNvCxnSpPr/>
      </xdr:nvCxnSpPr>
      <xdr:spPr>
        <a:xfrm>
          <a:off x="21201530" y="5390031"/>
          <a:ext cx="1792941" cy="1792940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35</xdr:col>
      <xdr:colOff>544606</xdr:colOff>
      <xdr:row>39</xdr:row>
      <xdr:rowOff>11206</xdr:rowOff>
    </xdr:from>
    <xdr:to>
      <xdr:col>37</xdr:col>
      <xdr:colOff>11206</xdr:colOff>
      <xdr:row>43</xdr:row>
      <xdr:rowOff>141195</xdr:rowOff>
    </xdr:to>
    <xdr:cxnSp macro="">
      <xdr:nvCxnSpPr>
        <xdr:cNvPr id="152" name="Conector de Seta Reta 151">
          <a:extLst>
            <a:ext uri="{FF2B5EF4-FFF2-40B4-BE49-F238E27FC236}">
              <a16:creationId xmlns:a16="http://schemas.microsoft.com/office/drawing/2014/main" id="{B865F88A-53B9-4B11-B6CD-2C6A944F5690}"/>
            </a:ext>
          </a:extLst>
        </xdr:cNvPr>
        <xdr:cNvCxnSpPr/>
      </xdr:nvCxnSpPr>
      <xdr:spPr>
        <a:xfrm flipV="1">
          <a:off x="24020930" y="6398559"/>
          <a:ext cx="620805" cy="757518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28575</xdr:colOff>
      <xdr:row>1</xdr:row>
      <xdr:rowOff>142875</xdr:rowOff>
    </xdr:from>
    <xdr:to>
      <xdr:col>16</xdr:col>
      <xdr:colOff>504825</xdr:colOff>
      <xdr:row>20</xdr:row>
      <xdr:rowOff>95250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415E7317-FEA6-4503-989E-22AB46F0FC6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E:\AA%202022.02\A%20Material_aula\TI%20Gest&#227;o%20de%20Projetos\ATUAL\AULAS\2023_PMI_e_Gest&#227;oAgil\Se&#231;&#227;o%2004%20-%20Previsoes%20do%20Orcamento_EXEMPLO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apa"/>
      <sheetName val="Orcado"/>
      <sheetName val="Realizado"/>
      <sheetName val="Status"/>
      <sheetName val="Param"/>
    </sheetNames>
    <sheetDataSet>
      <sheetData sheetId="0"/>
      <sheetData sheetId="1"/>
      <sheetData sheetId="2"/>
      <sheetData sheetId="3">
        <row r="3">
          <cell r="B3" t="str">
            <v>Mês</v>
          </cell>
          <cell r="E3" t="str">
            <v>Orçado</v>
          </cell>
          <cell r="F3" t="str">
            <v>Realizado</v>
          </cell>
        </row>
        <row r="4">
          <cell r="B4">
            <v>0</v>
          </cell>
          <cell r="E4">
            <v>4000</v>
          </cell>
          <cell r="F4">
            <v>4000</v>
          </cell>
        </row>
        <row r="5">
          <cell r="B5">
            <v>1</v>
          </cell>
          <cell r="E5">
            <v>6900</v>
          </cell>
          <cell r="F5">
            <v>7150</v>
          </cell>
        </row>
        <row r="6">
          <cell r="B6">
            <v>2</v>
          </cell>
          <cell r="E6">
            <v>10050</v>
          </cell>
          <cell r="F6">
            <v>10300</v>
          </cell>
        </row>
        <row r="7">
          <cell r="B7">
            <v>3</v>
          </cell>
          <cell r="E7">
            <v>13475</v>
          </cell>
          <cell r="F7">
            <v>13450</v>
          </cell>
        </row>
        <row r="8">
          <cell r="B8">
            <v>4</v>
          </cell>
          <cell r="E8">
            <v>17202.5</v>
          </cell>
          <cell r="F8">
            <v>16600</v>
          </cell>
        </row>
        <row r="9">
          <cell r="B9">
            <v>5</v>
          </cell>
          <cell r="E9">
            <v>21262.75</v>
          </cell>
          <cell r="F9">
            <v>19750</v>
          </cell>
        </row>
        <row r="10">
          <cell r="B10">
            <v>6</v>
          </cell>
          <cell r="E10">
            <v>25689.025000000001</v>
          </cell>
          <cell r="F10">
            <v>22900</v>
          </cell>
        </row>
        <row r="11">
          <cell r="B11">
            <v>7</v>
          </cell>
          <cell r="E11">
            <v>30517.927500000002</v>
          </cell>
          <cell r="F11">
            <v>26050</v>
          </cell>
        </row>
        <row r="12">
          <cell r="B12">
            <v>8</v>
          </cell>
          <cell r="E12">
            <v>35789.720250000006</v>
          </cell>
          <cell r="F12">
            <v>29200</v>
          </cell>
        </row>
        <row r="13">
          <cell r="B13">
            <v>9</v>
          </cell>
          <cell r="E13">
            <v>41548.692275000009</v>
          </cell>
          <cell r="F13">
            <v>32350</v>
          </cell>
        </row>
      </sheetData>
      <sheetData sheetId="4"/>
    </sheetDataSet>
  </externalBook>
</externalLink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F1000"/>
  <sheetViews>
    <sheetView showGridLines="0" tabSelected="1" workbookViewId="0">
      <selection activeCell="H14" sqref="H14"/>
    </sheetView>
  </sheetViews>
  <sheetFormatPr defaultColWidth="12.5546875" defaultRowHeight="15" customHeight="1" x14ac:dyDescent="0.25"/>
  <cols>
    <col min="1" max="1" width="60.6640625" customWidth="1"/>
    <col min="2" max="2" width="14.44140625" customWidth="1"/>
    <col min="3" max="3" width="9.5546875" customWidth="1"/>
    <col min="4" max="4" width="10.6640625" bestFit="1" customWidth="1"/>
    <col min="5" max="5" width="10.109375" customWidth="1"/>
    <col min="6" max="6" width="14.33203125" customWidth="1"/>
    <col min="7" max="26" width="8.5546875" customWidth="1"/>
  </cols>
  <sheetData>
    <row r="1" spans="1:6" ht="22.8" x14ac:dyDescent="0.4">
      <c r="A1" s="1" t="s">
        <v>106</v>
      </c>
      <c r="B1" s="1"/>
    </row>
    <row r="2" spans="1:6" ht="12.75" customHeight="1" x14ac:dyDescent="0.25"/>
    <row r="3" spans="1:6" ht="12.75" customHeight="1" x14ac:dyDescent="0.25"/>
    <row r="4" spans="1:6" ht="12.75" customHeight="1" x14ac:dyDescent="0.25"/>
    <row r="5" spans="1:6" ht="12.75" customHeight="1" x14ac:dyDescent="0.25">
      <c r="A5" s="2" t="s">
        <v>0</v>
      </c>
      <c r="B5" s="2" t="s">
        <v>1</v>
      </c>
      <c r="C5" s="2" t="s">
        <v>2</v>
      </c>
      <c r="D5" s="2" t="s">
        <v>3</v>
      </c>
      <c r="E5" s="2" t="s">
        <v>4</v>
      </c>
      <c r="F5" s="2" t="s">
        <v>5</v>
      </c>
    </row>
    <row r="6" spans="1:6" ht="12.75" customHeight="1" x14ac:dyDescent="0.25">
      <c r="A6" s="3" t="s">
        <v>6</v>
      </c>
      <c r="B6" s="4" t="s">
        <v>7</v>
      </c>
      <c r="C6" s="4" t="s">
        <v>8</v>
      </c>
      <c r="D6" s="5">
        <v>45691</v>
      </c>
      <c r="E6" s="5">
        <v>45727</v>
      </c>
      <c r="F6" s="6">
        <v>10</v>
      </c>
    </row>
    <row r="7" spans="1:6" ht="12.75" customHeight="1" x14ac:dyDescent="0.25">
      <c r="A7" s="3" t="s">
        <v>9</v>
      </c>
      <c r="B7" s="4" t="s">
        <v>10</v>
      </c>
      <c r="C7" s="4" t="s">
        <v>11</v>
      </c>
      <c r="D7" s="5">
        <v>45691</v>
      </c>
      <c r="E7" s="5">
        <v>45727</v>
      </c>
      <c r="F7" s="6">
        <v>36</v>
      </c>
    </row>
    <row r="8" spans="1:6" ht="12.75" customHeight="1" x14ac:dyDescent="0.25">
      <c r="A8" s="3" t="s">
        <v>12</v>
      </c>
      <c r="B8" s="4" t="s">
        <v>13</v>
      </c>
      <c r="C8" s="4" t="s">
        <v>14</v>
      </c>
      <c r="D8" s="5">
        <v>45691</v>
      </c>
      <c r="E8" s="5">
        <v>45727</v>
      </c>
      <c r="F8" s="6">
        <v>36</v>
      </c>
    </row>
    <row r="9" spans="1:6" ht="12.75" customHeight="1" x14ac:dyDescent="0.25">
      <c r="A9" s="3" t="s">
        <v>15</v>
      </c>
      <c r="B9" s="4" t="s">
        <v>16</v>
      </c>
      <c r="C9" s="4" t="s">
        <v>17</v>
      </c>
      <c r="D9" s="5">
        <v>45691</v>
      </c>
      <c r="E9" s="5">
        <v>45727</v>
      </c>
      <c r="F9" s="6">
        <v>36</v>
      </c>
    </row>
    <row r="10" spans="1:6" ht="12.75" customHeight="1" x14ac:dyDescent="0.25">
      <c r="A10" s="3" t="s">
        <v>18</v>
      </c>
      <c r="B10" s="4" t="s">
        <v>19</v>
      </c>
      <c r="C10" s="4" t="s">
        <v>20</v>
      </c>
      <c r="D10" s="5">
        <v>45691</v>
      </c>
      <c r="E10" s="5">
        <v>45727</v>
      </c>
      <c r="F10" s="6">
        <v>36</v>
      </c>
    </row>
    <row r="11" spans="1:6" ht="12.75" customHeight="1" x14ac:dyDescent="0.25">
      <c r="A11" s="3" t="s">
        <v>21</v>
      </c>
      <c r="B11" s="4" t="s">
        <v>22</v>
      </c>
      <c r="C11" s="4" t="s">
        <v>23</v>
      </c>
      <c r="D11" s="5">
        <v>45691</v>
      </c>
      <c r="E11" s="5">
        <v>45727</v>
      </c>
      <c r="F11" s="6">
        <v>36</v>
      </c>
    </row>
    <row r="12" spans="1:6" ht="12.75" customHeight="1" x14ac:dyDescent="0.25">
      <c r="A12" s="3" t="s">
        <v>24</v>
      </c>
      <c r="B12" s="4" t="s">
        <v>25</v>
      </c>
      <c r="C12" s="4" t="s">
        <v>26</v>
      </c>
      <c r="D12" s="5">
        <v>45728</v>
      </c>
      <c r="E12" s="5">
        <v>45732</v>
      </c>
      <c r="F12" s="6">
        <v>4</v>
      </c>
    </row>
    <row r="13" spans="1:6" ht="12.75" customHeight="1" x14ac:dyDescent="0.25">
      <c r="A13" s="3" t="s">
        <v>27</v>
      </c>
      <c r="B13" s="4" t="s">
        <v>28</v>
      </c>
      <c r="C13" s="4" t="s">
        <v>29</v>
      </c>
      <c r="D13" s="5">
        <v>45728</v>
      </c>
      <c r="E13" s="5">
        <v>45732</v>
      </c>
      <c r="F13" s="6">
        <v>4</v>
      </c>
    </row>
    <row r="14" spans="1:6" ht="12.75" customHeight="1" x14ac:dyDescent="0.25">
      <c r="A14" s="3" t="s">
        <v>30</v>
      </c>
      <c r="B14" s="4" t="s">
        <v>31</v>
      </c>
      <c r="C14" s="4" t="s">
        <v>32</v>
      </c>
      <c r="D14" s="5">
        <v>45728</v>
      </c>
      <c r="E14" s="5">
        <v>45732</v>
      </c>
      <c r="F14" s="6">
        <v>4</v>
      </c>
    </row>
    <row r="15" spans="1:6" ht="12.75" customHeight="1" x14ac:dyDescent="0.25">
      <c r="A15" s="3" t="s">
        <v>33</v>
      </c>
      <c r="B15" s="4" t="s">
        <v>34</v>
      </c>
      <c r="C15" s="4" t="s">
        <v>35</v>
      </c>
      <c r="D15" s="5">
        <v>45733</v>
      </c>
      <c r="E15" s="5">
        <v>45777</v>
      </c>
      <c r="F15" s="6">
        <v>44</v>
      </c>
    </row>
    <row r="16" spans="1:6" ht="12.75" customHeight="1" x14ac:dyDescent="0.25">
      <c r="A16" s="3" t="s">
        <v>36</v>
      </c>
      <c r="B16" s="4" t="s">
        <v>37</v>
      </c>
      <c r="C16" s="4" t="s">
        <v>38</v>
      </c>
      <c r="D16" s="5">
        <v>45733</v>
      </c>
      <c r="E16" s="5">
        <v>45777</v>
      </c>
      <c r="F16" s="6">
        <v>44</v>
      </c>
    </row>
    <row r="17" spans="1:6" ht="12.75" customHeight="1" x14ac:dyDescent="0.25">
      <c r="A17" s="3" t="s">
        <v>39</v>
      </c>
      <c r="B17" s="4" t="s">
        <v>40</v>
      </c>
      <c r="C17" s="4" t="s">
        <v>41</v>
      </c>
      <c r="D17" s="5">
        <v>45733</v>
      </c>
      <c r="E17" s="5">
        <v>45777</v>
      </c>
      <c r="F17" s="6">
        <v>44</v>
      </c>
    </row>
    <row r="18" spans="1:6" ht="12.75" customHeight="1" x14ac:dyDescent="0.25">
      <c r="A18" s="3" t="s">
        <v>42</v>
      </c>
      <c r="B18" s="4" t="s">
        <v>43</v>
      </c>
      <c r="C18" s="4" t="s">
        <v>44</v>
      </c>
      <c r="D18" s="5">
        <v>45733</v>
      </c>
      <c r="E18" s="5">
        <v>45777</v>
      </c>
      <c r="F18" s="6">
        <v>44</v>
      </c>
    </row>
    <row r="19" spans="1:6" ht="12.75" customHeight="1" x14ac:dyDescent="0.25">
      <c r="A19" s="3" t="s">
        <v>45</v>
      </c>
      <c r="B19" s="4" t="s">
        <v>46</v>
      </c>
      <c r="C19" s="4" t="s">
        <v>47</v>
      </c>
      <c r="D19" s="5">
        <v>45733</v>
      </c>
      <c r="E19" s="5">
        <v>45777</v>
      </c>
      <c r="F19" s="6">
        <v>44</v>
      </c>
    </row>
    <row r="20" spans="1:6" ht="12.75" customHeight="1" x14ac:dyDescent="0.25">
      <c r="A20" s="3" t="s">
        <v>48</v>
      </c>
      <c r="B20" s="4" t="s">
        <v>49</v>
      </c>
      <c r="C20" s="4" t="s">
        <v>50</v>
      </c>
      <c r="D20" s="5">
        <v>45733</v>
      </c>
      <c r="E20" s="5">
        <v>45777</v>
      </c>
      <c r="F20" s="6">
        <v>44</v>
      </c>
    </row>
    <row r="21" spans="1:6" ht="12.75" customHeight="1" x14ac:dyDescent="0.25">
      <c r="A21" s="3" t="s">
        <v>128</v>
      </c>
      <c r="B21" s="4" t="s">
        <v>51</v>
      </c>
      <c r="C21" s="4" t="s">
        <v>52</v>
      </c>
      <c r="D21" s="5">
        <v>45733</v>
      </c>
      <c r="E21" s="5">
        <v>45777</v>
      </c>
      <c r="F21" s="6">
        <v>44</v>
      </c>
    </row>
    <row r="22" spans="1:6" ht="12.75" customHeight="1" x14ac:dyDescent="0.25">
      <c r="A22" s="3" t="s">
        <v>129</v>
      </c>
      <c r="B22" s="4" t="s">
        <v>53</v>
      </c>
      <c r="C22" s="4" t="s">
        <v>54</v>
      </c>
      <c r="D22" s="5">
        <v>45733</v>
      </c>
      <c r="E22" s="5">
        <v>45777</v>
      </c>
      <c r="F22" s="6">
        <v>44</v>
      </c>
    </row>
    <row r="23" spans="1:6" ht="12.75" customHeight="1" x14ac:dyDescent="0.25">
      <c r="A23" s="3" t="s">
        <v>55</v>
      </c>
      <c r="B23" s="4" t="s">
        <v>56</v>
      </c>
      <c r="C23" s="4" t="s">
        <v>57</v>
      </c>
      <c r="D23" s="5">
        <v>45733</v>
      </c>
      <c r="E23" s="5">
        <v>45777</v>
      </c>
      <c r="F23" s="6">
        <v>44</v>
      </c>
    </row>
    <row r="24" spans="1:6" ht="12.75" customHeight="1" x14ac:dyDescent="0.25">
      <c r="A24" s="3" t="s">
        <v>58</v>
      </c>
      <c r="B24" s="4" t="s">
        <v>59</v>
      </c>
      <c r="C24" s="4" t="s">
        <v>60</v>
      </c>
      <c r="D24" s="5">
        <v>45778</v>
      </c>
      <c r="E24" s="5">
        <v>45787</v>
      </c>
      <c r="F24" s="6">
        <v>9</v>
      </c>
    </row>
    <row r="25" spans="1:6" ht="12.75" customHeight="1" x14ac:dyDescent="0.25">
      <c r="A25" s="3" t="s">
        <v>61</v>
      </c>
      <c r="B25" s="4" t="s">
        <v>62</v>
      </c>
      <c r="C25" s="4" t="s">
        <v>63</v>
      </c>
      <c r="D25" s="5">
        <v>45778</v>
      </c>
      <c r="E25" s="5">
        <v>45787</v>
      </c>
      <c r="F25" s="6">
        <v>9</v>
      </c>
    </row>
    <row r="26" spans="1:6" ht="12.75" customHeight="1" x14ac:dyDescent="0.25">
      <c r="A26" s="3" t="s">
        <v>64</v>
      </c>
      <c r="B26" s="4" t="s">
        <v>65</v>
      </c>
      <c r="C26" s="4" t="s">
        <v>66</v>
      </c>
      <c r="D26" s="5">
        <v>45778</v>
      </c>
      <c r="E26" s="5">
        <v>45787</v>
      </c>
      <c r="F26" s="6">
        <v>9</v>
      </c>
    </row>
    <row r="27" spans="1:6" ht="12.75" customHeight="1" x14ac:dyDescent="0.25">
      <c r="A27" s="3" t="s">
        <v>67</v>
      </c>
      <c r="B27" s="4" t="s">
        <v>68</v>
      </c>
      <c r="C27" s="4" t="s">
        <v>69</v>
      </c>
      <c r="D27" s="5">
        <v>45778</v>
      </c>
      <c r="E27" s="5">
        <v>45787</v>
      </c>
      <c r="F27" s="6">
        <v>9</v>
      </c>
    </row>
    <row r="28" spans="1:6" ht="12.75" customHeight="1" x14ac:dyDescent="0.25">
      <c r="A28" s="3" t="s">
        <v>70</v>
      </c>
      <c r="B28" s="4" t="s">
        <v>71</v>
      </c>
      <c r="C28" s="4" t="s">
        <v>72</v>
      </c>
      <c r="D28" s="5">
        <v>45778</v>
      </c>
      <c r="E28" s="5">
        <v>45787</v>
      </c>
      <c r="F28" s="6">
        <v>9</v>
      </c>
    </row>
    <row r="29" spans="1:6" ht="12.75" customHeight="1" x14ac:dyDescent="0.25">
      <c r="A29" s="3" t="s">
        <v>73</v>
      </c>
      <c r="B29" s="4" t="s">
        <v>74</v>
      </c>
      <c r="C29" s="4" t="s">
        <v>75</v>
      </c>
      <c r="D29" s="5">
        <v>45778</v>
      </c>
      <c r="E29" s="5">
        <v>45787</v>
      </c>
      <c r="F29" s="6">
        <v>9</v>
      </c>
    </row>
    <row r="30" spans="1:6" ht="12.75" customHeight="1" x14ac:dyDescent="0.25">
      <c r="A30" s="3" t="s">
        <v>76</v>
      </c>
      <c r="B30" s="4" t="s">
        <v>77</v>
      </c>
      <c r="C30" s="4" t="s">
        <v>78</v>
      </c>
      <c r="D30" s="5">
        <v>45788</v>
      </c>
      <c r="E30" s="5">
        <v>45790</v>
      </c>
      <c r="F30" s="6">
        <v>2</v>
      </c>
    </row>
    <row r="31" spans="1:6" ht="12.75" customHeight="1" x14ac:dyDescent="0.25">
      <c r="A31" s="3" t="s">
        <v>79</v>
      </c>
      <c r="B31" s="4" t="s">
        <v>80</v>
      </c>
      <c r="C31" s="4" t="s">
        <v>81</v>
      </c>
      <c r="D31" s="5">
        <v>45791</v>
      </c>
      <c r="E31" s="5">
        <v>45795</v>
      </c>
      <c r="F31" s="6">
        <v>4</v>
      </c>
    </row>
    <row r="32" spans="1:6" ht="12.75" customHeight="1" x14ac:dyDescent="0.25">
      <c r="A32" s="3" t="s">
        <v>82</v>
      </c>
      <c r="B32" s="4" t="s">
        <v>83</v>
      </c>
      <c r="C32" s="4" t="s">
        <v>84</v>
      </c>
      <c r="D32" s="5">
        <v>45791</v>
      </c>
      <c r="E32" s="5">
        <v>45795</v>
      </c>
      <c r="F32" s="6">
        <v>4</v>
      </c>
    </row>
    <row r="33" spans="1:6" ht="12.75" customHeight="1" x14ac:dyDescent="0.25">
      <c r="A33" s="3" t="s">
        <v>85</v>
      </c>
      <c r="B33" s="4" t="s">
        <v>86</v>
      </c>
      <c r="C33" s="4" t="s">
        <v>87</v>
      </c>
      <c r="D33" s="5">
        <v>45796</v>
      </c>
      <c r="E33" s="5">
        <v>45798</v>
      </c>
      <c r="F33" s="6">
        <v>2</v>
      </c>
    </row>
    <row r="34" spans="1:6" ht="12.75" customHeight="1" x14ac:dyDescent="0.25">
      <c r="A34" s="3" t="s">
        <v>88</v>
      </c>
      <c r="B34" s="4" t="s">
        <v>89</v>
      </c>
      <c r="C34" s="4" t="s">
        <v>90</v>
      </c>
      <c r="D34" s="5">
        <v>45796</v>
      </c>
      <c r="E34" s="5">
        <v>45798</v>
      </c>
      <c r="F34" s="6">
        <v>2</v>
      </c>
    </row>
    <row r="35" spans="1:6" ht="12.75" customHeight="1" x14ac:dyDescent="0.25">
      <c r="A35" s="3" t="s">
        <v>91</v>
      </c>
      <c r="B35" s="4" t="s">
        <v>92</v>
      </c>
      <c r="C35" s="4" t="s">
        <v>93</v>
      </c>
      <c r="D35" s="5">
        <v>45796</v>
      </c>
      <c r="E35" s="5">
        <v>45798</v>
      </c>
      <c r="F35" s="6">
        <v>2</v>
      </c>
    </row>
    <row r="36" spans="1:6" ht="12.75" customHeight="1" x14ac:dyDescent="0.25">
      <c r="A36" s="3" t="s">
        <v>94</v>
      </c>
      <c r="B36" s="4" t="s">
        <v>95</v>
      </c>
      <c r="C36" s="4" t="s">
        <v>96</v>
      </c>
      <c r="D36" s="5">
        <v>45796</v>
      </c>
      <c r="E36" s="5">
        <v>45798</v>
      </c>
      <c r="F36" s="6">
        <v>2</v>
      </c>
    </row>
    <row r="37" spans="1:6" ht="12.75" customHeight="1" x14ac:dyDescent="0.25">
      <c r="A37" s="3" t="s">
        <v>97</v>
      </c>
      <c r="B37" s="4" t="s">
        <v>98</v>
      </c>
      <c r="C37" s="4" t="s">
        <v>99</v>
      </c>
      <c r="D37" s="5">
        <v>45799</v>
      </c>
      <c r="E37" s="5">
        <v>45805</v>
      </c>
      <c r="F37" s="6">
        <v>6</v>
      </c>
    </row>
    <row r="38" spans="1:6" ht="12.75" customHeight="1" x14ac:dyDescent="0.25">
      <c r="A38" s="3" t="s">
        <v>100</v>
      </c>
      <c r="B38" s="4" t="s">
        <v>101</v>
      </c>
      <c r="C38" s="4" t="s">
        <v>102</v>
      </c>
      <c r="D38" s="5">
        <v>45799</v>
      </c>
      <c r="E38" s="5">
        <v>45805</v>
      </c>
      <c r="F38" s="6">
        <v>6</v>
      </c>
    </row>
    <row r="39" spans="1:6" ht="12.75" customHeight="1" x14ac:dyDescent="0.25"/>
    <row r="40" spans="1:6" ht="12.75" customHeight="1" x14ac:dyDescent="0.25"/>
    <row r="41" spans="1:6" ht="12.75" customHeight="1" x14ac:dyDescent="0.25"/>
    <row r="42" spans="1:6" ht="12.75" customHeight="1" x14ac:dyDescent="0.25"/>
    <row r="43" spans="1:6" ht="12.75" customHeight="1" x14ac:dyDescent="0.25"/>
    <row r="44" spans="1:6" ht="12.75" customHeight="1" x14ac:dyDescent="0.25"/>
    <row r="45" spans="1:6" ht="12.75" customHeight="1" x14ac:dyDescent="0.25"/>
    <row r="46" spans="1:6" ht="12.75" customHeight="1" x14ac:dyDescent="0.25"/>
    <row r="47" spans="1:6" ht="12.75" customHeight="1" x14ac:dyDescent="0.25"/>
    <row r="48" spans="1:6" ht="12.75" customHeight="1" x14ac:dyDescent="0.25"/>
    <row r="49" ht="12.75" customHeight="1" x14ac:dyDescent="0.25"/>
    <row r="50" ht="12.75" customHeight="1" x14ac:dyDescent="0.25"/>
    <row r="51" ht="12.75" customHeight="1" x14ac:dyDescent="0.25"/>
    <row r="52" ht="12.75" customHeight="1" x14ac:dyDescent="0.25"/>
    <row r="53" ht="12.75" customHeight="1" x14ac:dyDescent="0.25"/>
    <row r="54" ht="12.75" customHeight="1" x14ac:dyDescent="0.25"/>
    <row r="55" ht="12.75" customHeight="1" x14ac:dyDescent="0.25"/>
    <row r="56" ht="12.75" customHeight="1" x14ac:dyDescent="0.25"/>
    <row r="57" ht="12.75" customHeight="1" x14ac:dyDescent="0.25"/>
    <row r="58" ht="12.75" customHeight="1" x14ac:dyDescent="0.25"/>
    <row r="59" ht="12.75" customHeight="1" x14ac:dyDescent="0.25"/>
    <row r="60" ht="12.75" customHeight="1" x14ac:dyDescent="0.25"/>
    <row r="61" ht="12.75" customHeight="1" x14ac:dyDescent="0.25"/>
    <row r="62" ht="12.75" customHeight="1" x14ac:dyDescent="0.25"/>
    <row r="63" ht="12.75" customHeight="1" x14ac:dyDescent="0.25"/>
    <row r="64" ht="12.75" customHeight="1" x14ac:dyDescent="0.25"/>
    <row r="65" ht="12.75" customHeight="1" x14ac:dyDescent="0.25"/>
    <row r="66" ht="12.75" customHeight="1" x14ac:dyDescent="0.25"/>
    <row r="67" ht="12.75" customHeight="1" x14ac:dyDescent="0.25"/>
    <row r="68" ht="12.75" customHeight="1" x14ac:dyDescent="0.25"/>
    <row r="69" ht="12.75" customHeight="1" x14ac:dyDescent="0.25"/>
    <row r="70" ht="12.75" customHeight="1" x14ac:dyDescent="0.25"/>
    <row r="71" ht="12.75" customHeight="1" x14ac:dyDescent="0.25"/>
    <row r="72" ht="12.75" customHeight="1" x14ac:dyDescent="0.25"/>
    <row r="73" ht="12.75" customHeight="1" x14ac:dyDescent="0.25"/>
    <row r="74" ht="12.75" customHeight="1" x14ac:dyDescent="0.25"/>
    <row r="75" ht="12.75" customHeight="1" x14ac:dyDescent="0.25"/>
    <row r="76" ht="12.75" customHeight="1" x14ac:dyDescent="0.25"/>
    <row r="77" ht="12.75" customHeight="1" x14ac:dyDescent="0.25"/>
    <row r="78" ht="12.75" customHeight="1" x14ac:dyDescent="0.25"/>
    <row r="79" ht="12.75" customHeight="1" x14ac:dyDescent="0.25"/>
    <row r="80" ht="12.75" customHeight="1" x14ac:dyDescent="0.25"/>
    <row r="81" ht="12.75" customHeight="1" x14ac:dyDescent="0.25"/>
    <row r="82" ht="12.75" customHeight="1" x14ac:dyDescent="0.25"/>
    <row r="83" ht="12.75" customHeight="1" x14ac:dyDescent="0.25"/>
    <row r="84" ht="12.75" customHeight="1" x14ac:dyDescent="0.25"/>
    <row r="85" ht="12.75" customHeight="1" x14ac:dyDescent="0.25"/>
    <row r="86" ht="12.75" customHeight="1" x14ac:dyDescent="0.25"/>
    <row r="87" ht="12.75" customHeight="1" x14ac:dyDescent="0.25"/>
    <row r="88" ht="12.75" customHeight="1" x14ac:dyDescent="0.25"/>
    <row r="89" ht="12.75" customHeight="1" x14ac:dyDescent="0.25"/>
    <row r="90" ht="12.75" customHeight="1" x14ac:dyDescent="0.25"/>
    <row r="91" ht="12.75" customHeight="1" x14ac:dyDescent="0.25"/>
    <row r="92" ht="12.75" customHeight="1" x14ac:dyDescent="0.25"/>
    <row r="93" ht="12.75" customHeight="1" x14ac:dyDescent="0.25"/>
    <row r="94" ht="12.75" customHeight="1" x14ac:dyDescent="0.25"/>
    <row r="95" ht="12.75" customHeight="1" x14ac:dyDescent="0.25"/>
    <row r="96" ht="12.75" customHeight="1" x14ac:dyDescent="0.25"/>
    <row r="97" ht="12.75" customHeight="1" x14ac:dyDescent="0.25"/>
    <row r="98" ht="12.75" customHeight="1" x14ac:dyDescent="0.25"/>
    <row r="99" ht="12.75" customHeight="1" x14ac:dyDescent="0.25"/>
    <row r="100" ht="12.75" customHeight="1" x14ac:dyDescent="0.25"/>
    <row r="101" ht="12.75" customHeight="1" x14ac:dyDescent="0.25"/>
    <row r="102" ht="12.75" customHeight="1" x14ac:dyDescent="0.25"/>
    <row r="103" ht="12.75" customHeight="1" x14ac:dyDescent="0.25"/>
    <row r="104" ht="12.75" customHeight="1" x14ac:dyDescent="0.25"/>
    <row r="105" ht="12.75" customHeight="1" x14ac:dyDescent="0.25"/>
    <row r="106" ht="12.75" customHeight="1" x14ac:dyDescent="0.25"/>
    <row r="107" ht="12.75" customHeight="1" x14ac:dyDescent="0.25"/>
    <row r="108" ht="12.75" customHeight="1" x14ac:dyDescent="0.25"/>
    <row r="109" ht="12.75" customHeight="1" x14ac:dyDescent="0.25"/>
    <row r="110" ht="12.75" customHeight="1" x14ac:dyDescent="0.25"/>
    <row r="111" ht="12.75" customHeight="1" x14ac:dyDescent="0.25"/>
    <row r="112" ht="12.75" customHeight="1" x14ac:dyDescent="0.25"/>
    <row r="113" ht="12.75" customHeight="1" x14ac:dyDescent="0.25"/>
    <row r="114" ht="12.75" customHeight="1" x14ac:dyDescent="0.25"/>
    <row r="115" ht="12.75" customHeight="1" x14ac:dyDescent="0.25"/>
    <row r="116" ht="12.75" customHeight="1" x14ac:dyDescent="0.25"/>
    <row r="117" ht="12.75" customHeight="1" x14ac:dyDescent="0.25"/>
    <row r="118" ht="12.75" customHeight="1" x14ac:dyDescent="0.25"/>
    <row r="119" ht="12.75" customHeight="1" x14ac:dyDescent="0.25"/>
    <row r="120" ht="12.75" customHeight="1" x14ac:dyDescent="0.25"/>
    <row r="121" ht="12.75" customHeight="1" x14ac:dyDescent="0.25"/>
    <row r="122" ht="12.75" customHeight="1" x14ac:dyDescent="0.25"/>
    <row r="123" ht="12.75" customHeight="1" x14ac:dyDescent="0.25"/>
    <row r="124" ht="12.75" customHeight="1" x14ac:dyDescent="0.25"/>
    <row r="125" ht="12.75" customHeight="1" x14ac:dyDescent="0.25"/>
    <row r="126" ht="12.75" customHeight="1" x14ac:dyDescent="0.25"/>
    <row r="127" ht="12.75" customHeight="1" x14ac:dyDescent="0.25"/>
    <row r="128" ht="12.75" customHeight="1" x14ac:dyDescent="0.25"/>
    <row r="129" ht="12.75" customHeight="1" x14ac:dyDescent="0.25"/>
    <row r="130" ht="12.75" customHeight="1" x14ac:dyDescent="0.25"/>
    <row r="131" ht="12.75" customHeight="1" x14ac:dyDescent="0.25"/>
    <row r="132" ht="12.75" customHeight="1" x14ac:dyDescent="0.25"/>
    <row r="133" ht="12.75" customHeight="1" x14ac:dyDescent="0.25"/>
    <row r="134" ht="12.75" customHeight="1" x14ac:dyDescent="0.25"/>
    <row r="135" ht="12.75" customHeight="1" x14ac:dyDescent="0.25"/>
    <row r="136" ht="12.75" customHeight="1" x14ac:dyDescent="0.25"/>
    <row r="137" ht="12.75" customHeight="1" x14ac:dyDescent="0.25"/>
    <row r="138" ht="12.75" customHeight="1" x14ac:dyDescent="0.25"/>
    <row r="139" ht="12.75" customHeight="1" x14ac:dyDescent="0.25"/>
    <row r="140" ht="12.75" customHeight="1" x14ac:dyDescent="0.25"/>
    <row r="141" ht="12.75" customHeight="1" x14ac:dyDescent="0.25"/>
    <row r="142" ht="12.75" customHeight="1" x14ac:dyDescent="0.25"/>
    <row r="143" ht="12.75" customHeight="1" x14ac:dyDescent="0.25"/>
    <row r="144" ht="12.75" customHeight="1" x14ac:dyDescent="0.25"/>
    <row r="145" ht="12.75" customHeight="1" x14ac:dyDescent="0.25"/>
    <row r="146" ht="12.75" customHeight="1" x14ac:dyDescent="0.25"/>
    <row r="147" ht="12.75" customHeight="1" x14ac:dyDescent="0.25"/>
    <row r="148" ht="12.75" customHeight="1" x14ac:dyDescent="0.25"/>
    <row r="149" ht="12.75" customHeight="1" x14ac:dyDescent="0.25"/>
    <row r="150" ht="12.75" customHeight="1" x14ac:dyDescent="0.25"/>
    <row r="151" ht="12.75" customHeight="1" x14ac:dyDescent="0.25"/>
    <row r="152" ht="12.75" customHeight="1" x14ac:dyDescent="0.25"/>
    <row r="153" ht="12.75" customHeight="1" x14ac:dyDescent="0.25"/>
    <row r="154" ht="12.75" customHeight="1" x14ac:dyDescent="0.25"/>
    <row r="155" ht="12.75" customHeight="1" x14ac:dyDescent="0.25"/>
    <row r="156" ht="12.75" customHeight="1" x14ac:dyDescent="0.25"/>
    <row r="157" ht="12.75" customHeight="1" x14ac:dyDescent="0.25"/>
    <row r="158" ht="12.75" customHeight="1" x14ac:dyDescent="0.25"/>
    <row r="159" ht="12.75" customHeight="1" x14ac:dyDescent="0.25"/>
    <row r="160" ht="12.75" customHeight="1" x14ac:dyDescent="0.25"/>
    <row r="161" ht="12.75" customHeight="1" x14ac:dyDescent="0.25"/>
    <row r="162" ht="12.75" customHeight="1" x14ac:dyDescent="0.25"/>
    <row r="163" ht="12.75" customHeight="1" x14ac:dyDescent="0.25"/>
    <row r="164" ht="12.75" customHeight="1" x14ac:dyDescent="0.25"/>
    <row r="165" ht="12.75" customHeight="1" x14ac:dyDescent="0.25"/>
    <row r="166" ht="12.75" customHeight="1" x14ac:dyDescent="0.25"/>
    <row r="167" ht="12.75" customHeight="1" x14ac:dyDescent="0.25"/>
    <row r="168" ht="12.75" customHeight="1" x14ac:dyDescent="0.25"/>
    <row r="169" ht="12.75" customHeight="1" x14ac:dyDescent="0.25"/>
    <row r="170" ht="12.75" customHeight="1" x14ac:dyDescent="0.25"/>
    <row r="171" ht="12.75" customHeight="1" x14ac:dyDescent="0.25"/>
    <row r="172" ht="12.75" customHeight="1" x14ac:dyDescent="0.25"/>
    <row r="173" ht="12.75" customHeight="1" x14ac:dyDescent="0.25"/>
    <row r="174" ht="12.75" customHeight="1" x14ac:dyDescent="0.25"/>
    <row r="175" ht="12.75" customHeight="1" x14ac:dyDescent="0.25"/>
    <row r="176" ht="12.75" customHeight="1" x14ac:dyDescent="0.25"/>
    <row r="177" ht="12.75" customHeight="1" x14ac:dyDescent="0.25"/>
    <row r="178" ht="12.75" customHeight="1" x14ac:dyDescent="0.25"/>
    <row r="179" ht="12.75" customHeight="1" x14ac:dyDescent="0.25"/>
    <row r="180" ht="12.75" customHeight="1" x14ac:dyDescent="0.25"/>
    <row r="181" ht="12.75" customHeight="1" x14ac:dyDescent="0.25"/>
    <row r="182" ht="12.75" customHeight="1" x14ac:dyDescent="0.25"/>
    <row r="183" ht="12.75" customHeight="1" x14ac:dyDescent="0.25"/>
    <row r="184" ht="12.75" customHeight="1" x14ac:dyDescent="0.25"/>
    <row r="185" ht="12.75" customHeight="1" x14ac:dyDescent="0.25"/>
    <row r="186" ht="12.75" customHeight="1" x14ac:dyDescent="0.25"/>
    <row r="187" ht="12.75" customHeight="1" x14ac:dyDescent="0.25"/>
    <row r="188" ht="12.75" customHeight="1" x14ac:dyDescent="0.25"/>
    <row r="189" ht="12.75" customHeight="1" x14ac:dyDescent="0.25"/>
    <row r="190" ht="12.75" customHeight="1" x14ac:dyDescent="0.25"/>
    <row r="191" ht="12.75" customHeight="1" x14ac:dyDescent="0.25"/>
    <row r="192" ht="12.75" customHeight="1" x14ac:dyDescent="0.25"/>
    <row r="193" ht="12.75" customHeight="1" x14ac:dyDescent="0.25"/>
    <row r="194" ht="12.75" customHeight="1" x14ac:dyDescent="0.25"/>
    <row r="195" ht="12.75" customHeight="1" x14ac:dyDescent="0.25"/>
    <row r="196" ht="12.75" customHeight="1" x14ac:dyDescent="0.25"/>
    <row r="197" ht="12.75" customHeight="1" x14ac:dyDescent="0.25"/>
    <row r="198" ht="12.75" customHeight="1" x14ac:dyDescent="0.25"/>
    <row r="199" ht="12.75" customHeight="1" x14ac:dyDescent="0.25"/>
    <row r="200" ht="12.75" customHeight="1" x14ac:dyDescent="0.25"/>
    <row r="201" ht="12.75" customHeight="1" x14ac:dyDescent="0.25"/>
    <row r="202" ht="12.75" customHeight="1" x14ac:dyDescent="0.25"/>
    <row r="203" ht="12.75" customHeight="1" x14ac:dyDescent="0.25"/>
    <row r="204" ht="12.75" customHeight="1" x14ac:dyDescent="0.25"/>
    <row r="205" ht="12.75" customHeight="1" x14ac:dyDescent="0.25"/>
    <row r="206" ht="12.75" customHeight="1" x14ac:dyDescent="0.25"/>
    <row r="207" ht="12.75" customHeight="1" x14ac:dyDescent="0.25"/>
    <row r="208" ht="12.75" customHeight="1" x14ac:dyDescent="0.25"/>
    <row r="209" ht="12.75" customHeight="1" x14ac:dyDescent="0.25"/>
    <row r="210" ht="12.75" customHeight="1" x14ac:dyDescent="0.25"/>
    <row r="211" ht="12.75" customHeight="1" x14ac:dyDescent="0.25"/>
    <row r="212" ht="12.75" customHeight="1" x14ac:dyDescent="0.25"/>
    <row r="213" ht="12.75" customHeight="1" x14ac:dyDescent="0.25"/>
    <row r="214" ht="12.75" customHeight="1" x14ac:dyDescent="0.25"/>
    <row r="215" ht="12.75" customHeight="1" x14ac:dyDescent="0.25"/>
    <row r="216" ht="12.75" customHeight="1" x14ac:dyDescent="0.25"/>
    <row r="217" ht="12.75" customHeight="1" x14ac:dyDescent="0.25"/>
    <row r="218" ht="12.75" customHeight="1" x14ac:dyDescent="0.25"/>
    <row r="219" ht="12.75" customHeight="1" x14ac:dyDescent="0.25"/>
    <row r="220" ht="12.75" customHeight="1" x14ac:dyDescent="0.25"/>
    <row r="221" ht="12.75" customHeight="1" x14ac:dyDescent="0.25"/>
    <row r="222" ht="12.75" customHeight="1" x14ac:dyDescent="0.25"/>
    <row r="223" ht="12.75" customHeight="1" x14ac:dyDescent="0.25"/>
    <row r="224" ht="12.75" customHeight="1" x14ac:dyDescent="0.25"/>
    <row r="225" ht="12.75" customHeight="1" x14ac:dyDescent="0.25"/>
    <row r="226" ht="12.75" customHeight="1" x14ac:dyDescent="0.25"/>
    <row r="227" ht="12.75" customHeight="1" x14ac:dyDescent="0.25"/>
    <row r="228" ht="12.75" customHeight="1" x14ac:dyDescent="0.25"/>
    <row r="229" ht="12.75" customHeight="1" x14ac:dyDescent="0.25"/>
    <row r="230" ht="12.75" customHeight="1" x14ac:dyDescent="0.25"/>
    <row r="231" ht="12.75" customHeight="1" x14ac:dyDescent="0.25"/>
    <row r="232" ht="12.75" customHeight="1" x14ac:dyDescent="0.25"/>
    <row r="233" ht="12.75" customHeight="1" x14ac:dyDescent="0.25"/>
    <row r="234" ht="12.75" customHeight="1" x14ac:dyDescent="0.25"/>
    <row r="235" ht="12.75" customHeight="1" x14ac:dyDescent="0.25"/>
    <row r="236" ht="12.75" customHeight="1" x14ac:dyDescent="0.25"/>
    <row r="237" ht="12.75" customHeight="1" x14ac:dyDescent="0.25"/>
    <row r="238" ht="12.75" customHeight="1" x14ac:dyDescent="0.25"/>
    <row r="239" ht="12.75" customHeight="1" x14ac:dyDescent="0.25"/>
    <row r="240" ht="12.75" customHeight="1" x14ac:dyDescent="0.25"/>
    <row r="241" ht="12.75" customHeight="1" x14ac:dyDescent="0.25"/>
    <row r="242" ht="12.75" customHeight="1" x14ac:dyDescent="0.25"/>
    <row r="243" ht="12.75" customHeight="1" x14ac:dyDescent="0.25"/>
    <row r="244" ht="12.75" customHeight="1" x14ac:dyDescent="0.25"/>
    <row r="245" ht="12.75" customHeight="1" x14ac:dyDescent="0.25"/>
    <row r="246" ht="12.75" customHeight="1" x14ac:dyDescent="0.25"/>
    <row r="247" ht="12.75" customHeight="1" x14ac:dyDescent="0.25"/>
    <row r="248" ht="12.75" customHeight="1" x14ac:dyDescent="0.25"/>
    <row r="249" ht="12.75" customHeight="1" x14ac:dyDescent="0.25"/>
    <row r="250" ht="12.75" customHeight="1" x14ac:dyDescent="0.25"/>
    <row r="251" ht="12.75" customHeight="1" x14ac:dyDescent="0.25"/>
    <row r="252" ht="12.75" customHeight="1" x14ac:dyDescent="0.25"/>
    <row r="253" ht="12.75" customHeight="1" x14ac:dyDescent="0.25"/>
    <row r="254" ht="12.75" customHeight="1" x14ac:dyDescent="0.25"/>
    <row r="255" ht="12.75" customHeight="1" x14ac:dyDescent="0.25"/>
    <row r="256" ht="12.75" customHeight="1" x14ac:dyDescent="0.25"/>
    <row r="257" ht="12.75" customHeight="1" x14ac:dyDescent="0.25"/>
    <row r="258" ht="12.75" customHeight="1" x14ac:dyDescent="0.25"/>
    <row r="259" ht="12.75" customHeight="1" x14ac:dyDescent="0.25"/>
    <row r="260" ht="12.75" customHeight="1" x14ac:dyDescent="0.25"/>
    <row r="261" ht="12.75" customHeight="1" x14ac:dyDescent="0.25"/>
    <row r="262" ht="12.75" customHeight="1" x14ac:dyDescent="0.25"/>
    <row r="263" ht="12.75" customHeight="1" x14ac:dyDescent="0.25"/>
    <row r="264" ht="12.75" customHeight="1" x14ac:dyDescent="0.25"/>
    <row r="265" ht="12.75" customHeight="1" x14ac:dyDescent="0.25"/>
    <row r="266" ht="12.75" customHeight="1" x14ac:dyDescent="0.25"/>
    <row r="267" ht="12.75" customHeight="1" x14ac:dyDescent="0.25"/>
    <row r="268" ht="12.75" customHeight="1" x14ac:dyDescent="0.25"/>
    <row r="269" ht="12.75" customHeight="1" x14ac:dyDescent="0.25"/>
    <row r="270" ht="12.75" customHeight="1" x14ac:dyDescent="0.25"/>
    <row r="271" ht="12.75" customHeight="1" x14ac:dyDescent="0.25"/>
    <row r="272" ht="12.75" customHeight="1" x14ac:dyDescent="0.25"/>
    <row r="273" ht="12.75" customHeight="1" x14ac:dyDescent="0.25"/>
    <row r="274" ht="12.75" customHeight="1" x14ac:dyDescent="0.25"/>
    <row r="275" ht="12.75" customHeight="1" x14ac:dyDescent="0.25"/>
    <row r="276" ht="12.75" customHeight="1" x14ac:dyDescent="0.25"/>
    <row r="277" ht="12.75" customHeight="1" x14ac:dyDescent="0.25"/>
    <row r="278" ht="12.75" customHeight="1" x14ac:dyDescent="0.25"/>
    <row r="279" ht="12.75" customHeight="1" x14ac:dyDescent="0.25"/>
    <row r="280" ht="12.75" customHeight="1" x14ac:dyDescent="0.25"/>
    <row r="281" ht="12.75" customHeight="1" x14ac:dyDescent="0.25"/>
    <row r="282" ht="12.75" customHeight="1" x14ac:dyDescent="0.25"/>
    <row r="283" ht="12.75" customHeight="1" x14ac:dyDescent="0.25"/>
    <row r="284" ht="12.75" customHeight="1" x14ac:dyDescent="0.25"/>
    <row r="285" ht="12.75" customHeight="1" x14ac:dyDescent="0.25"/>
    <row r="286" ht="12.75" customHeight="1" x14ac:dyDescent="0.25"/>
    <row r="287" ht="12.75" customHeight="1" x14ac:dyDescent="0.25"/>
    <row r="288" ht="12.75" customHeight="1" x14ac:dyDescent="0.25"/>
    <row r="289" ht="12.75" customHeight="1" x14ac:dyDescent="0.25"/>
    <row r="290" ht="12.75" customHeight="1" x14ac:dyDescent="0.25"/>
    <row r="291" ht="12.75" customHeight="1" x14ac:dyDescent="0.25"/>
    <row r="292" ht="12.75" customHeight="1" x14ac:dyDescent="0.25"/>
    <row r="293" ht="12.75" customHeight="1" x14ac:dyDescent="0.25"/>
    <row r="294" ht="12.75" customHeight="1" x14ac:dyDescent="0.25"/>
    <row r="295" ht="12.75" customHeight="1" x14ac:dyDescent="0.25"/>
    <row r="296" ht="12.75" customHeight="1" x14ac:dyDescent="0.25"/>
    <row r="297" ht="12.75" customHeight="1" x14ac:dyDescent="0.25"/>
    <row r="298" ht="12.75" customHeight="1" x14ac:dyDescent="0.25"/>
    <row r="299" ht="12.75" customHeight="1" x14ac:dyDescent="0.25"/>
    <row r="300" ht="12.75" customHeight="1" x14ac:dyDescent="0.25"/>
    <row r="301" ht="12.75" customHeight="1" x14ac:dyDescent="0.25"/>
    <row r="302" ht="12.75" customHeight="1" x14ac:dyDescent="0.25"/>
    <row r="303" ht="12.75" customHeight="1" x14ac:dyDescent="0.25"/>
    <row r="304" ht="12.75" customHeight="1" x14ac:dyDescent="0.25"/>
    <row r="305" ht="12.75" customHeight="1" x14ac:dyDescent="0.25"/>
    <row r="306" ht="12.75" customHeight="1" x14ac:dyDescent="0.25"/>
    <row r="307" ht="12.75" customHeight="1" x14ac:dyDescent="0.25"/>
    <row r="308" ht="12.75" customHeight="1" x14ac:dyDescent="0.25"/>
    <row r="309" ht="12.75" customHeight="1" x14ac:dyDescent="0.25"/>
    <row r="310" ht="12.75" customHeight="1" x14ac:dyDescent="0.25"/>
    <row r="311" ht="12.75" customHeight="1" x14ac:dyDescent="0.25"/>
    <row r="312" ht="12.75" customHeight="1" x14ac:dyDescent="0.25"/>
    <row r="313" ht="12.75" customHeight="1" x14ac:dyDescent="0.25"/>
    <row r="314" ht="12.75" customHeight="1" x14ac:dyDescent="0.25"/>
    <row r="315" ht="12.75" customHeight="1" x14ac:dyDescent="0.25"/>
    <row r="316" ht="12.75" customHeight="1" x14ac:dyDescent="0.25"/>
    <row r="317" ht="12.75" customHeight="1" x14ac:dyDescent="0.25"/>
    <row r="318" ht="12.75" customHeight="1" x14ac:dyDescent="0.25"/>
    <row r="319" ht="12.75" customHeight="1" x14ac:dyDescent="0.25"/>
    <row r="320" ht="12.75" customHeight="1" x14ac:dyDescent="0.25"/>
    <row r="321" ht="12.75" customHeight="1" x14ac:dyDescent="0.25"/>
    <row r="322" ht="12.75" customHeight="1" x14ac:dyDescent="0.25"/>
    <row r="323" ht="12.75" customHeight="1" x14ac:dyDescent="0.25"/>
    <row r="324" ht="12.75" customHeight="1" x14ac:dyDescent="0.25"/>
    <row r="325" ht="12.75" customHeight="1" x14ac:dyDescent="0.25"/>
    <row r="326" ht="12.75" customHeight="1" x14ac:dyDescent="0.25"/>
    <row r="327" ht="12.75" customHeight="1" x14ac:dyDescent="0.25"/>
    <row r="328" ht="12.75" customHeight="1" x14ac:dyDescent="0.25"/>
    <row r="329" ht="12.75" customHeight="1" x14ac:dyDescent="0.25"/>
    <row r="330" ht="12.75" customHeight="1" x14ac:dyDescent="0.25"/>
    <row r="331" ht="12.75" customHeight="1" x14ac:dyDescent="0.25"/>
    <row r="332" ht="12.75" customHeight="1" x14ac:dyDescent="0.25"/>
    <row r="333" ht="12.75" customHeight="1" x14ac:dyDescent="0.25"/>
    <row r="334" ht="12.75" customHeight="1" x14ac:dyDescent="0.25"/>
    <row r="335" ht="12.75" customHeight="1" x14ac:dyDescent="0.25"/>
    <row r="336" ht="12.75" customHeight="1" x14ac:dyDescent="0.25"/>
    <row r="337" ht="12.75" customHeight="1" x14ac:dyDescent="0.25"/>
    <row r="338" ht="12.75" customHeight="1" x14ac:dyDescent="0.25"/>
    <row r="339" ht="12.75" customHeight="1" x14ac:dyDescent="0.25"/>
    <row r="340" ht="12.75" customHeight="1" x14ac:dyDescent="0.25"/>
    <row r="341" ht="12.75" customHeight="1" x14ac:dyDescent="0.25"/>
    <row r="342" ht="12.75" customHeight="1" x14ac:dyDescent="0.25"/>
    <row r="343" ht="12.75" customHeight="1" x14ac:dyDescent="0.25"/>
    <row r="344" ht="12.75" customHeight="1" x14ac:dyDescent="0.25"/>
    <row r="345" ht="12.75" customHeight="1" x14ac:dyDescent="0.25"/>
    <row r="346" ht="12.75" customHeight="1" x14ac:dyDescent="0.25"/>
    <row r="347" ht="12.75" customHeight="1" x14ac:dyDescent="0.25"/>
    <row r="348" ht="12.75" customHeight="1" x14ac:dyDescent="0.25"/>
    <row r="349" ht="12.75" customHeight="1" x14ac:dyDescent="0.25"/>
    <row r="350" ht="12.75" customHeight="1" x14ac:dyDescent="0.25"/>
    <row r="351" ht="12.75" customHeight="1" x14ac:dyDescent="0.25"/>
    <row r="352" ht="12.75" customHeight="1" x14ac:dyDescent="0.25"/>
    <row r="353" ht="12.75" customHeight="1" x14ac:dyDescent="0.25"/>
    <row r="354" ht="12.75" customHeight="1" x14ac:dyDescent="0.25"/>
    <row r="355" ht="12.75" customHeight="1" x14ac:dyDescent="0.25"/>
    <row r="356" ht="12.75" customHeight="1" x14ac:dyDescent="0.25"/>
    <row r="357" ht="12.75" customHeight="1" x14ac:dyDescent="0.25"/>
    <row r="358" ht="12.75" customHeight="1" x14ac:dyDescent="0.25"/>
    <row r="359" ht="12.75" customHeight="1" x14ac:dyDescent="0.25"/>
    <row r="360" ht="12.75" customHeight="1" x14ac:dyDescent="0.25"/>
    <row r="361" ht="12.75" customHeight="1" x14ac:dyDescent="0.25"/>
    <row r="362" ht="12.75" customHeight="1" x14ac:dyDescent="0.25"/>
    <row r="363" ht="12.75" customHeight="1" x14ac:dyDescent="0.25"/>
    <row r="364" ht="12.75" customHeight="1" x14ac:dyDescent="0.25"/>
    <row r="365" ht="12.75" customHeight="1" x14ac:dyDescent="0.25"/>
    <row r="366" ht="12.75" customHeight="1" x14ac:dyDescent="0.25"/>
    <row r="367" ht="12.75" customHeight="1" x14ac:dyDescent="0.25"/>
    <row r="368" ht="12.75" customHeight="1" x14ac:dyDescent="0.25"/>
    <row r="369" ht="12.75" customHeight="1" x14ac:dyDescent="0.25"/>
    <row r="370" ht="12.75" customHeight="1" x14ac:dyDescent="0.25"/>
    <row r="371" ht="12.75" customHeight="1" x14ac:dyDescent="0.25"/>
    <row r="372" ht="12.75" customHeight="1" x14ac:dyDescent="0.25"/>
    <row r="373" ht="12.75" customHeight="1" x14ac:dyDescent="0.25"/>
    <row r="374" ht="12.75" customHeight="1" x14ac:dyDescent="0.25"/>
    <row r="375" ht="12.75" customHeight="1" x14ac:dyDescent="0.25"/>
    <row r="376" ht="12.75" customHeight="1" x14ac:dyDescent="0.25"/>
    <row r="377" ht="12.75" customHeight="1" x14ac:dyDescent="0.25"/>
    <row r="378" ht="12.75" customHeight="1" x14ac:dyDescent="0.25"/>
    <row r="379" ht="12.75" customHeight="1" x14ac:dyDescent="0.25"/>
    <row r="380" ht="12.75" customHeight="1" x14ac:dyDescent="0.25"/>
    <row r="381" ht="12.75" customHeight="1" x14ac:dyDescent="0.25"/>
    <row r="382" ht="12.75" customHeight="1" x14ac:dyDescent="0.25"/>
    <row r="383" ht="12.75" customHeight="1" x14ac:dyDescent="0.25"/>
    <row r="384" ht="12.75" customHeight="1" x14ac:dyDescent="0.25"/>
    <row r="385" ht="12.75" customHeight="1" x14ac:dyDescent="0.25"/>
    <row r="386" ht="12.75" customHeight="1" x14ac:dyDescent="0.25"/>
    <row r="387" ht="12.75" customHeight="1" x14ac:dyDescent="0.25"/>
    <row r="388" ht="12.75" customHeight="1" x14ac:dyDescent="0.25"/>
    <row r="389" ht="12.75" customHeight="1" x14ac:dyDescent="0.25"/>
    <row r="390" ht="12.75" customHeight="1" x14ac:dyDescent="0.25"/>
    <row r="391" ht="12.75" customHeight="1" x14ac:dyDescent="0.25"/>
    <row r="392" ht="12.75" customHeight="1" x14ac:dyDescent="0.25"/>
    <row r="393" ht="12.75" customHeight="1" x14ac:dyDescent="0.25"/>
    <row r="394" ht="12.75" customHeight="1" x14ac:dyDescent="0.25"/>
    <row r="395" ht="12.75" customHeight="1" x14ac:dyDescent="0.25"/>
    <row r="396" ht="12.75" customHeight="1" x14ac:dyDescent="0.25"/>
    <row r="397" ht="12.75" customHeight="1" x14ac:dyDescent="0.25"/>
    <row r="398" ht="12.75" customHeight="1" x14ac:dyDescent="0.25"/>
    <row r="399" ht="12.75" customHeight="1" x14ac:dyDescent="0.25"/>
    <row r="400" ht="12.75" customHeight="1" x14ac:dyDescent="0.25"/>
    <row r="401" ht="12.75" customHeight="1" x14ac:dyDescent="0.25"/>
    <row r="402" ht="12.75" customHeight="1" x14ac:dyDescent="0.25"/>
    <row r="403" ht="12.75" customHeight="1" x14ac:dyDescent="0.25"/>
    <row r="404" ht="12.75" customHeight="1" x14ac:dyDescent="0.25"/>
    <row r="405" ht="12.75" customHeight="1" x14ac:dyDescent="0.25"/>
    <row r="406" ht="12.75" customHeight="1" x14ac:dyDescent="0.25"/>
    <row r="407" ht="12.75" customHeight="1" x14ac:dyDescent="0.25"/>
    <row r="408" ht="12.75" customHeight="1" x14ac:dyDescent="0.25"/>
    <row r="409" ht="12.75" customHeight="1" x14ac:dyDescent="0.25"/>
    <row r="410" ht="12.75" customHeight="1" x14ac:dyDescent="0.25"/>
    <row r="411" ht="12.75" customHeight="1" x14ac:dyDescent="0.25"/>
    <row r="412" ht="12.75" customHeight="1" x14ac:dyDescent="0.25"/>
    <row r="413" ht="12.75" customHeight="1" x14ac:dyDescent="0.25"/>
    <row r="414" ht="12.75" customHeight="1" x14ac:dyDescent="0.25"/>
    <row r="415" ht="12.75" customHeight="1" x14ac:dyDescent="0.25"/>
    <row r="416" ht="12.75" customHeight="1" x14ac:dyDescent="0.25"/>
    <row r="417" ht="12.75" customHeight="1" x14ac:dyDescent="0.25"/>
    <row r="418" ht="12.75" customHeight="1" x14ac:dyDescent="0.25"/>
    <row r="419" ht="12.75" customHeight="1" x14ac:dyDescent="0.25"/>
    <row r="420" ht="12.75" customHeight="1" x14ac:dyDescent="0.25"/>
    <row r="421" ht="12.75" customHeight="1" x14ac:dyDescent="0.25"/>
    <row r="422" ht="12.75" customHeight="1" x14ac:dyDescent="0.25"/>
    <row r="423" ht="12.75" customHeight="1" x14ac:dyDescent="0.25"/>
    <row r="424" ht="12.75" customHeight="1" x14ac:dyDescent="0.25"/>
    <row r="425" ht="12.75" customHeight="1" x14ac:dyDescent="0.25"/>
    <row r="426" ht="12.75" customHeight="1" x14ac:dyDescent="0.25"/>
    <row r="427" ht="12.75" customHeight="1" x14ac:dyDescent="0.25"/>
    <row r="428" ht="12.75" customHeight="1" x14ac:dyDescent="0.25"/>
    <row r="429" ht="12.75" customHeight="1" x14ac:dyDescent="0.25"/>
    <row r="430" ht="12.75" customHeight="1" x14ac:dyDescent="0.25"/>
    <row r="431" ht="12.75" customHeight="1" x14ac:dyDescent="0.25"/>
    <row r="432" ht="12.75" customHeight="1" x14ac:dyDescent="0.25"/>
    <row r="433" ht="12.75" customHeight="1" x14ac:dyDescent="0.25"/>
    <row r="434" ht="12.75" customHeight="1" x14ac:dyDescent="0.25"/>
    <row r="435" ht="12.75" customHeight="1" x14ac:dyDescent="0.25"/>
    <row r="436" ht="12.75" customHeight="1" x14ac:dyDescent="0.25"/>
    <row r="437" ht="12.75" customHeight="1" x14ac:dyDescent="0.25"/>
    <row r="438" ht="12.75" customHeight="1" x14ac:dyDescent="0.25"/>
    <row r="439" ht="12.75" customHeight="1" x14ac:dyDescent="0.25"/>
    <row r="440" ht="12.75" customHeight="1" x14ac:dyDescent="0.25"/>
    <row r="441" ht="12.75" customHeight="1" x14ac:dyDescent="0.25"/>
    <row r="442" ht="12.75" customHeight="1" x14ac:dyDescent="0.25"/>
    <row r="443" ht="12.75" customHeight="1" x14ac:dyDescent="0.25"/>
    <row r="444" ht="12.75" customHeight="1" x14ac:dyDescent="0.25"/>
    <row r="445" ht="12.75" customHeight="1" x14ac:dyDescent="0.25"/>
    <row r="446" ht="12.75" customHeight="1" x14ac:dyDescent="0.25"/>
    <row r="447" ht="12.75" customHeight="1" x14ac:dyDescent="0.25"/>
    <row r="448" ht="12.75" customHeight="1" x14ac:dyDescent="0.25"/>
    <row r="449" ht="12.75" customHeight="1" x14ac:dyDescent="0.25"/>
    <row r="450" ht="12.75" customHeight="1" x14ac:dyDescent="0.25"/>
    <row r="451" ht="12.75" customHeight="1" x14ac:dyDescent="0.25"/>
    <row r="452" ht="12.75" customHeight="1" x14ac:dyDescent="0.25"/>
    <row r="453" ht="12.75" customHeight="1" x14ac:dyDescent="0.25"/>
    <row r="454" ht="12.75" customHeight="1" x14ac:dyDescent="0.25"/>
    <row r="455" ht="12.75" customHeight="1" x14ac:dyDescent="0.25"/>
    <row r="456" ht="12.75" customHeight="1" x14ac:dyDescent="0.25"/>
    <row r="457" ht="12.75" customHeight="1" x14ac:dyDescent="0.25"/>
    <row r="458" ht="12.75" customHeight="1" x14ac:dyDescent="0.25"/>
    <row r="459" ht="12.75" customHeight="1" x14ac:dyDescent="0.25"/>
    <row r="460" ht="12.75" customHeight="1" x14ac:dyDescent="0.25"/>
    <row r="461" ht="12.75" customHeight="1" x14ac:dyDescent="0.25"/>
    <row r="462" ht="12.75" customHeight="1" x14ac:dyDescent="0.25"/>
    <row r="463" ht="12.75" customHeight="1" x14ac:dyDescent="0.25"/>
    <row r="464" ht="12.75" customHeight="1" x14ac:dyDescent="0.25"/>
    <row r="465" ht="12.75" customHeight="1" x14ac:dyDescent="0.25"/>
    <row r="466" ht="12.75" customHeight="1" x14ac:dyDescent="0.25"/>
    <row r="467" ht="12.75" customHeight="1" x14ac:dyDescent="0.25"/>
    <row r="468" ht="12.75" customHeight="1" x14ac:dyDescent="0.25"/>
    <row r="469" ht="12.75" customHeight="1" x14ac:dyDescent="0.25"/>
    <row r="470" ht="12.75" customHeight="1" x14ac:dyDescent="0.25"/>
    <row r="471" ht="12.75" customHeight="1" x14ac:dyDescent="0.25"/>
    <row r="472" ht="12.75" customHeight="1" x14ac:dyDescent="0.25"/>
    <row r="473" ht="12.75" customHeight="1" x14ac:dyDescent="0.25"/>
    <row r="474" ht="12.75" customHeight="1" x14ac:dyDescent="0.25"/>
    <row r="475" ht="12.75" customHeight="1" x14ac:dyDescent="0.25"/>
    <row r="476" ht="12.75" customHeight="1" x14ac:dyDescent="0.25"/>
    <row r="477" ht="12.75" customHeight="1" x14ac:dyDescent="0.25"/>
    <row r="478" ht="12.75" customHeight="1" x14ac:dyDescent="0.25"/>
    <row r="479" ht="12.75" customHeight="1" x14ac:dyDescent="0.25"/>
    <row r="480" ht="12.75" customHeight="1" x14ac:dyDescent="0.25"/>
    <row r="481" ht="12.75" customHeight="1" x14ac:dyDescent="0.25"/>
    <row r="482" ht="12.75" customHeight="1" x14ac:dyDescent="0.25"/>
    <row r="483" ht="12.75" customHeight="1" x14ac:dyDescent="0.25"/>
    <row r="484" ht="12.75" customHeight="1" x14ac:dyDescent="0.25"/>
    <row r="485" ht="12.75" customHeight="1" x14ac:dyDescent="0.25"/>
    <row r="486" ht="12.75" customHeight="1" x14ac:dyDescent="0.25"/>
    <row r="487" ht="12.75" customHeight="1" x14ac:dyDescent="0.25"/>
    <row r="488" ht="12.75" customHeight="1" x14ac:dyDescent="0.25"/>
    <row r="489" ht="12.75" customHeight="1" x14ac:dyDescent="0.25"/>
    <row r="490" ht="12.75" customHeight="1" x14ac:dyDescent="0.25"/>
    <row r="491" ht="12.75" customHeight="1" x14ac:dyDescent="0.25"/>
    <row r="492" ht="12.75" customHeight="1" x14ac:dyDescent="0.25"/>
    <row r="493" ht="12.75" customHeight="1" x14ac:dyDescent="0.25"/>
    <row r="494" ht="12.75" customHeight="1" x14ac:dyDescent="0.25"/>
    <row r="495" ht="12.75" customHeight="1" x14ac:dyDescent="0.25"/>
    <row r="496" ht="12.75" customHeight="1" x14ac:dyDescent="0.25"/>
    <row r="497" ht="12.75" customHeight="1" x14ac:dyDescent="0.25"/>
    <row r="498" ht="12.75" customHeight="1" x14ac:dyDescent="0.25"/>
    <row r="499" ht="12.75" customHeight="1" x14ac:dyDescent="0.25"/>
    <row r="500" ht="12.75" customHeight="1" x14ac:dyDescent="0.25"/>
    <row r="501" ht="12.75" customHeight="1" x14ac:dyDescent="0.25"/>
    <row r="502" ht="12.75" customHeight="1" x14ac:dyDescent="0.25"/>
    <row r="503" ht="12.75" customHeight="1" x14ac:dyDescent="0.25"/>
    <row r="504" ht="12.75" customHeight="1" x14ac:dyDescent="0.25"/>
    <row r="505" ht="12.75" customHeight="1" x14ac:dyDescent="0.25"/>
    <row r="506" ht="12.75" customHeight="1" x14ac:dyDescent="0.25"/>
    <row r="507" ht="12.75" customHeight="1" x14ac:dyDescent="0.25"/>
    <row r="508" ht="12.75" customHeight="1" x14ac:dyDescent="0.25"/>
    <row r="509" ht="12.75" customHeight="1" x14ac:dyDescent="0.25"/>
    <row r="510" ht="12.75" customHeight="1" x14ac:dyDescent="0.25"/>
    <row r="511" ht="12.75" customHeight="1" x14ac:dyDescent="0.25"/>
    <row r="512" ht="12.75" customHeight="1" x14ac:dyDescent="0.25"/>
    <row r="513" ht="12.75" customHeight="1" x14ac:dyDescent="0.25"/>
    <row r="514" ht="12.75" customHeight="1" x14ac:dyDescent="0.25"/>
    <row r="515" ht="12.75" customHeight="1" x14ac:dyDescent="0.25"/>
    <row r="516" ht="12.75" customHeight="1" x14ac:dyDescent="0.25"/>
    <row r="517" ht="12.75" customHeight="1" x14ac:dyDescent="0.25"/>
    <row r="518" ht="12.75" customHeight="1" x14ac:dyDescent="0.25"/>
    <row r="519" ht="12.75" customHeight="1" x14ac:dyDescent="0.25"/>
    <row r="520" ht="12.75" customHeight="1" x14ac:dyDescent="0.25"/>
    <row r="521" ht="12.75" customHeight="1" x14ac:dyDescent="0.25"/>
    <row r="522" ht="12.75" customHeight="1" x14ac:dyDescent="0.25"/>
    <row r="523" ht="12.75" customHeight="1" x14ac:dyDescent="0.25"/>
    <row r="524" ht="12.75" customHeight="1" x14ac:dyDescent="0.25"/>
    <row r="525" ht="12.75" customHeight="1" x14ac:dyDescent="0.25"/>
    <row r="526" ht="12.75" customHeight="1" x14ac:dyDescent="0.25"/>
    <row r="527" ht="12.75" customHeight="1" x14ac:dyDescent="0.25"/>
    <row r="528" ht="12.75" customHeight="1" x14ac:dyDescent="0.25"/>
    <row r="529" ht="12.75" customHeight="1" x14ac:dyDescent="0.25"/>
    <row r="530" ht="12.75" customHeight="1" x14ac:dyDescent="0.25"/>
    <row r="531" ht="12.75" customHeight="1" x14ac:dyDescent="0.25"/>
    <row r="532" ht="12.75" customHeight="1" x14ac:dyDescent="0.25"/>
    <row r="533" ht="12.75" customHeight="1" x14ac:dyDescent="0.25"/>
    <row r="534" ht="12.75" customHeight="1" x14ac:dyDescent="0.25"/>
    <row r="535" ht="12.75" customHeight="1" x14ac:dyDescent="0.25"/>
    <row r="536" ht="12.75" customHeight="1" x14ac:dyDescent="0.25"/>
    <row r="537" ht="12.75" customHeight="1" x14ac:dyDescent="0.25"/>
    <row r="538" ht="12.75" customHeight="1" x14ac:dyDescent="0.25"/>
    <row r="539" ht="12.75" customHeight="1" x14ac:dyDescent="0.25"/>
    <row r="540" ht="12.75" customHeight="1" x14ac:dyDescent="0.25"/>
    <row r="541" ht="12.75" customHeight="1" x14ac:dyDescent="0.25"/>
    <row r="542" ht="12.75" customHeight="1" x14ac:dyDescent="0.25"/>
    <row r="543" ht="12.75" customHeight="1" x14ac:dyDescent="0.25"/>
    <row r="544" ht="12.75" customHeight="1" x14ac:dyDescent="0.25"/>
    <row r="545" ht="12.75" customHeight="1" x14ac:dyDescent="0.25"/>
    <row r="546" ht="12.75" customHeight="1" x14ac:dyDescent="0.25"/>
    <row r="547" ht="12.75" customHeight="1" x14ac:dyDescent="0.25"/>
    <row r="548" ht="12.75" customHeight="1" x14ac:dyDescent="0.25"/>
    <row r="549" ht="12.75" customHeight="1" x14ac:dyDescent="0.25"/>
    <row r="550" ht="12.75" customHeight="1" x14ac:dyDescent="0.25"/>
    <row r="551" ht="12.75" customHeight="1" x14ac:dyDescent="0.25"/>
    <row r="552" ht="12.75" customHeight="1" x14ac:dyDescent="0.25"/>
    <row r="553" ht="12.75" customHeight="1" x14ac:dyDescent="0.25"/>
    <row r="554" ht="12.75" customHeight="1" x14ac:dyDescent="0.25"/>
    <row r="555" ht="12.75" customHeight="1" x14ac:dyDescent="0.25"/>
    <row r="556" ht="12.75" customHeight="1" x14ac:dyDescent="0.25"/>
    <row r="557" ht="12.75" customHeight="1" x14ac:dyDescent="0.25"/>
    <row r="558" ht="12.75" customHeight="1" x14ac:dyDescent="0.25"/>
    <row r="559" ht="12.75" customHeight="1" x14ac:dyDescent="0.25"/>
    <row r="560" ht="12.75" customHeight="1" x14ac:dyDescent="0.25"/>
    <row r="561" ht="12.75" customHeight="1" x14ac:dyDescent="0.25"/>
    <row r="562" ht="12.75" customHeight="1" x14ac:dyDescent="0.25"/>
    <row r="563" ht="12.75" customHeight="1" x14ac:dyDescent="0.25"/>
    <row r="564" ht="12.75" customHeight="1" x14ac:dyDescent="0.25"/>
    <row r="565" ht="12.75" customHeight="1" x14ac:dyDescent="0.25"/>
    <row r="566" ht="12.75" customHeight="1" x14ac:dyDescent="0.25"/>
    <row r="567" ht="12.75" customHeight="1" x14ac:dyDescent="0.25"/>
    <row r="568" ht="12.75" customHeight="1" x14ac:dyDescent="0.25"/>
    <row r="569" ht="12.75" customHeight="1" x14ac:dyDescent="0.25"/>
    <row r="570" ht="12.75" customHeight="1" x14ac:dyDescent="0.25"/>
    <row r="571" ht="12.75" customHeight="1" x14ac:dyDescent="0.25"/>
    <row r="572" ht="12.75" customHeight="1" x14ac:dyDescent="0.25"/>
    <row r="573" ht="12.75" customHeight="1" x14ac:dyDescent="0.25"/>
    <row r="574" ht="12.75" customHeight="1" x14ac:dyDescent="0.25"/>
    <row r="575" ht="12.75" customHeight="1" x14ac:dyDescent="0.25"/>
    <row r="576" ht="12.75" customHeight="1" x14ac:dyDescent="0.25"/>
    <row r="577" ht="12.75" customHeight="1" x14ac:dyDescent="0.25"/>
    <row r="578" ht="12.75" customHeight="1" x14ac:dyDescent="0.25"/>
    <row r="579" ht="12.75" customHeight="1" x14ac:dyDescent="0.25"/>
    <row r="580" ht="12.75" customHeight="1" x14ac:dyDescent="0.25"/>
    <row r="581" ht="12.75" customHeight="1" x14ac:dyDescent="0.25"/>
    <row r="582" ht="12.75" customHeight="1" x14ac:dyDescent="0.25"/>
    <row r="583" ht="12.75" customHeight="1" x14ac:dyDescent="0.25"/>
    <row r="584" ht="12.75" customHeight="1" x14ac:dyDescent="0.25"/>
    <row r="585" ht="12.75" customHeight="1" x14ac:dyDescent="0.25"/>
    <row r="586" ht="12.75" customHeight="1" x14ac:dyDescent="0.25"/>
    <row r="587" ht="12.75" customHeight="1" x14ac:dyDescent="0.25"/>
    <row r="588" ht="12.75" customHeight="1" x14ac:dyDescent="0.25"/>
    <row r="589" ht="12.75" customHeight="1" x14ac:dyDescent="0.25"/>
    <row r="590" ht="12.75" customHeight="1" x14ac:dyDescent="0.25"/>
    <row r="591" ht="12.75" customHeight="1" x14ac:dyDescent="0.25"/>
    <row r="592" ht="12.75" customHeight="1" x14ac:dyDescent="0.25"/>
    <row r="593" ht="12.75" customHeight="1" x14ac:dyDescent="0.25"/>
    <row r="594" ht="12.75" customHeight="1" x14ac:dyDescent="0.25"/>
    <row r="595" ht="12.75" customHeight="1" x14ac:dyDescent="0.25"/>
    <row r="596" ht="12.75" customHeight="1" x14ac:dyDescent="0.25"/>
    <row r="597" ht="12.75" customHeight="1" x14ac:dyDescent="0.25"/>
    <row r="598" ht="12.75" customHeight="1" x14ac:dyDescent="0.25"/>
    <row r="599" ht="12.75" customHeight="1" x14ac:dyDescent="0.25"/>
    <row r="600" ht="12.75" customHeight="1" x14ac:dyDescent="0.25"/>
    <row r="601" ht="12.75" customHeight="1" x14ac:dyDescent="0.25"/>
    <row r="602" ht="12.75" customHeight="1" x14ac:dyDescent="0.25"/>
    <row r="603" ht="12.75" customHeight="1" x14ac:dyDescent="0.25"/>
    <row r="604" ht="12.75" customHeight="1" x14ac:dyDescent="0.25"/>
    <row r="605" ht="12.75" customHeight="1" x14ac:dyDescent="0.25"/>
    <row r="606" ht="12.75" customHeight="1" x14ac:dyDescent="0.25"/>
    <row r="607" ht="12.75" customHeight="1" x14ac:dyDescent="0.25"/>
    <row r="608" ht="12.75" customHeight="1" x14ac:dyDescent="0.25"/>
    <row r="609" ht="12.75" customHeight="1" x14ac:dyDescent="0.25"/>
    <row r="610" ht="12.75" customHeight="1" x14ac:dyDescent="0.25"/>
    <row r="611" ht="12.75" customHeight="1" x14ac:dyDescent="0.25"/>
    <row r="612" ht="12.75" customHeight="1" x14ac:dyDescent="0.25"/>
    <row r="613" ht="12.75" customHeight="1" x14ac:dyDescent="0.25"/>
    <row r="614" ht="12.75" customHeight="1" x14ac:dyDescent="0.25"/>
    <row r="615" ht="12.75" customHeight="1" x14ac:dyDescent="0.25"/>
    <row r="616" ht="12.75" customHeight="1" x14ac:dyDescent="0.25"/>
    <row r="617" ht="12.75" customHeight="1" x14ac:dyDescent="0.25"/>
    <row r="618" ht="12.75" customHeight="1" x14ac:dyDescent="0.25"/>
    <row r="619" ht="12.75" customHeight="1" x14ac:dyDescent="0.25"/>
    <row r="620" ht="12.75" customHeight="1" x14ac:dyDescent="0.25"/>
    <row r="621" ht="12.75" customHeight="1" x14ac:dyDescent="0.25"/>
    <row r="622" ht="12.75" customHeight="1" x14ac:dyDescent="0.25"/>
    <row r="623" ht="12.75" customHeight="1" x14ac:dyDescent="0.25"/>
    <row r="624" ht="12.75" customHeight="1" x14ac:dyDescent="0.25"/>
    <row r="625" ht="12.75" customHeight="1" x14ac:dyDescent="0.25"/>
    <row r="626" ht="12.75" customHeight="1" x14ac:dyDescent="0.25"/>
    <row r="627" ht="12.75" customHeight="1" x14ac:dyDescent="0.25"/>
    <row r="628" ht="12.75" customHeight="1" x14ac:dyDescent="0.25"/>
    <row r="629" ht="12.75" customHeight="1" x14ac:dyDescent="0.25"/>
    <row r="630" ht="12.75" customHeight="1" x14ac:dyDescent="0.25"/>
    <row r="631" ht="12.75" customHeight="1" x14ac:dyDescent="0.25"/>
    <row r="632" ht="12.75" customHeight="1" x14ac:dyDescent="0.25"/>
    <row r="633" ht="12.75" customHeight="1" x14ac:dyDescent="0.25"/>
    <row r="634" ht="12.75" customHeight="1" x14ac:dyDescent="0.25"/>
    <row r="635" ht="12.75" customHeight="1" x14ac:dyDescent="0.25"/>
    <row r="636" ht="12.75" customHeight="1" x14ac:dyDescent="0.25"/>
    <row r="637" ht="12.75" customHeight="1" x14ac:dyDescent="0.25"/>
    <row r="638" ht="12.75" customHeight="1" x14ac:dyDescent="0.25"/>
    <row r="639" ht="12.75" customHeight="1" x14ac:dyDescent="0.25"/>
    <row r="640" ht="12.75" customHeight="1" x14ac:dyDescent="0.25"/>
    <row r="641" ht="12.75" customHeight="1" x14ac:dyDescent="0.25"/>
    <row r="642" ht="12.75" customHeight="1" x14ac:dyDescent="0.25"/>
    <row r="643" ht="12.75" customHeight="1" x14ac:dyDescent="0.25"/>
    <row r="644" ht="12.75" customHeight="1" x14ac:dyDescent="0.25"/>
    <row r="645" ht="12.75" customHeight="1" x14ac:dyDescent="0.25"/>
    <row r="646" ht="12.75" customHeight="1" x14ac:dyDescent="0.25"/>
    <row r="647" ht="12.75" customHeight="1" x14ac:dyDescent="0.25"/>
    <row r="648" ht="12.75" customHeight="1" x14ac:dyDescent="0.25"/>
    <row r="649" ht="12.75" customHeight="1" x14ac:dyDescent="0.25"/>
    <row r="650" ht="12.75" customHeight="1" x14ac:dyDescent="0.25"/>
    <row r="651" ht="12.75" customHeight="1" x14ac:dyDescent="0.25"/>
    <row r="652" ht="12.75" customHeight="1" x14ac:dyDescent="0.25"/>
    <row r="653" ht="12.75" customHeight="1" x14ac:dyDescent="0.25"/>
    <row r="654" ht="12.75" customHeight="1" x14ac:dyDescent="0.25"/>
    <row r="655" ht="12.75" customHeight="1" x14ac:dyDescent="0.25"/>
    <row r="656" ht="12.75" customHeight="1" x14ac:dyDescent="0.25"/>
    <row r="657" ht="12.75" customHeight="1" x14ac:dyDescent="0.25"/>
    <row r="658" ht="12.75" customHeight="1" x14ac:dyDescent="0.25"/>
    <row r="659" ht="12.75" customHeight="1" x14ac:dyDescent="0.25"/>
    <row r="660" ht="12.75" customHeight="1" x14ac:dyDescent="0.25"/>
    <row r="661" ht="12.75" customHeight="1" x14ac:dyDescent="0.25"/>
    <row r="662" ht="12.75" customHeight="1" x14ac:dyDescent="0.25"/>
    <row r="663" ht="12.75" customHeight="1" x14ac:dyDescent="0.25"/>
    <row r="664" ht="12.75" customHeight="1" x14ac:dyDescent="0.25"/>
    <row r="665" ht="12.75" customHeight="1" x14ac:dyDescent="0.25"/>
    <row r="666" ht="12.75" customHeight="1" x14ac:dyDescent="0.25"/>
    <row r="667" ht="12.75" customHeight="1" x14ac:dyDescent="0.25"/>
    <row r="668" ht="12.75" customHeight="1" x14ac:dyDescent="0.25"/>
    <row r="669" ht="12.75" customHeight="1" x14ac:dyDescent="0.25"/>
    <row r="670" ht="12.75" customHeight="1" x14ac:dyDescent="0.25"/>
    <row r="671" ht="12.75" customHeight="1" x14ac:dyDescent="0.25"/>
    <row r="672" ht="12.75" customHeight="1" x14ac:dyDescent="0.25"/>
    <row r="673" ht="12.75" customHeight="1" x14ac:dyDescent="0.25"/>
    <row r="674" ht="12.75" customHeight="1" x14ac:dyDescent="0.25"/>
    <row r="675" ht="12.75" customHeight="1" x14ac:dyDescent="0.25"/>
    <row r="676" ht="12.75" customHeight="1" x14ac:dyDescent="0.25"/>
    <row r="677" ht="12.75" customHeight="1" x14ac:dyDescent="0.25"/>
    <row r="678" ht="12.75" customHeight="1" x14ac:dyDescent="0.25"/>
    <row r="679" ht="12.75" customHeight="1" x14ac:dyDescent="0.25"/>
    <row r="680" ht="12.75" customHeight="1" x14ac:dyDescent="0.25"/>
    <row r="681" ht="12.75" customHeight="1" x14ac:dyDescent="0.25"/>
    <row r="682" ht="12.75" customHeight="1" x14ac:dyDescent="0.25"/>
    <row r="683" ht="12.75" customHeight="1" x14ac:dyDescent="0.25"/>
    <row r="684" ht="12.75" customHeight="1" x14ac:dyDescent="0.25"/>
    <row r="685" ht="12.75" customHeight="1" x14ac:dyDescent="0.25"/>
    <row r="686" ht="12.75" customHeight="1" x14ac:dyDescent="0.25"/>
    <row r="687" ht="12.75" customHeight="1" x14ac:dyDescent="0.25"/>
    <row r="688" ht="12.75" customHeight="1" x14ac:dyDescent="0.25"/>
    <row r="689" ht="12.75" customHeight="1" x14ac:dyDescent="0.25"/>
    <row r="690" ht="12.75" customHeight="1" x14ac:dyDescent="0.25"/>
    <row r="691" ht="12.75" customHeight="1" x14ac:dyDescent="0.25"/>
    <row r="692" ht="12.75" customHeight="1" x14ac:dyDescent="0.25"/>
    <row r="693" ht="12.75" customHeight="1" x14ac:dyDescent="0.25"/>
    <row r="694" ht="12.75" customHeight="1" x14ac:dyDescent="0.25"/>
    <row r="695" ht="12.75" customHeight="1" x14ac:dyDescent="0.25"/>
    <row r="696" ht="12.75" customHeight="1" x14ac:dyDescent="0.25"/>
    <row r="697" ht="12.75" customHeight="1" x14ac:dyDescent="0.25"/>
    <row r="698" ht="12.75" customHeight="1" x14ac:dyDescent="0.25"/>
    <row r="699" ht="12.75" customHeight="1" x14ac:dyDescent="0.25"/>
    <row r="700" ht="12.75" customHeight="1" x14ac:dyDescent="0.25"/>
    <row r="701" ht="12.75" customHeight="1" x14ac:dyDescent="0.25"/>
    <row r="702" ht="12.75" customHeight="1" x14ac:dyDescent="0.25"/>
    <row r="703" ht="12.75" customHeight="1" x14ac:dyDescent="0.25"/>
    <row r="704" ht="12.75" customHeight="1" x14ac:dyDescent="0.25"/>
    <row r="705" ht="12.75" customHeight="1" x14ac:dyDescent="0.25"/>
    <row r="706" ht="12.75" customHeight="1" x14ac:dyDescent="0.25"/>
    <row r="707" ht="12.75" customHeight="1" x14ac:dyDescent="0.25"/>
    <row r="708" ht="12.75" customHeight="1" x14ac:dyDescent="0.25"/>
    <row r="709" ht="12.75" customHeight="1" x14ac:dyDescent="0.25"/>
    <row r="710" ht="12.75" customHeight="1" x14ac:dyDescent="0.25"/>
    <row r="711" ht="12.75" customHeight="1" x14ac:dyDescent="0.25"/>
    <row r="712" ht="12.75" customHeight="1" x14ac:dyDescent="0.25"/>
    <row r="713" ht="12.75" customHeight="1" x14ac:dyDescent="0.25"/>
    <row r="714" ht="12.75" customHeight="1" x14ac:dyDescent="0.25"/>
    <row r="715" ht="12.75" customHeight="1" x14ac:dyDescent="0.25"/>
    <row r="716" ht="12.75" customHeight="1" x14ac:dyDescent="0.25"/>
    <row r="717" ht="12.75" customHeight="1" x14ac:dyDescent="0.25"/>
    <row r="718" ht="12.75" customHeight="1" x14ac:dyDescent="0.25"/>
    <row r="719" ht="12.75" customHeight="1" x14ac:dyDescent="0.25"/>
    <row r="720" ht="12.75" customHeight="1" x14ac:dyDescent="0.25"/>
    <row r="721" ht="12.75" customHeight="1" x14ac:dyDescent="0.25"/>
    <row r="722" ht="12.75" customHeight="1" x14ac:dyDescent="0.25"/>
    <row r="723" ht="12.75" customHeight="1" x14ac:dyDescent="0.25"/>
    <row r="724" ht="12.75" customHeight="1" x14ac:dyDescent="0.25"/>
    <row r="725" ht="12.75" customHeight="1" x14ac:dyDescent="0.25"/>
    <row r="726" ht="12.75" customHeight="1" x14ac:dyDescent="0.25"/>
    <row r="727" ht="12.75" customHeight="1" x14ac:dyDescent="0.25"/>
    <row r="728" ht="12.75" customHeight="1" x14ac:dyDescent="0.25"/>
    <row r="729" ht="12.75" customHeight="1" x14ac:dyDescent="0.25"/>
    <row r="730" ht="12.75" customHeight="1" x14ac:dyDescent="0.25"/>
    <row r="731" ht="12.75" customHeight="1" x14ac:dyDescent="0.25"/>
    <row r="732" ht="12.75" customHeight="1" x14ac:dyDescent="0.25"/>
    <row r="733" ht="12.75" customHeight="1" x14ac:dyDescent="0.25"/>
    <row r="734" ht="12.75" customHeight="1" x14ac:dyDescent="0.25"/>
    <row r="735" ht="12.75" customHeight="1" x14ac:dyDescent="0.25"/>
    <row r="736" ht="12.75" customHeight="1" x14ac:dyDescent="0.25"/>
    <row r="737" ht="12.75" customHeight="1" x14ac:dyDescent="0.25"/>
    <row r="738" ht="12.75" customHeight="1" x14ac:dyDescent="0.25"/>
    <row r="739" ht="12.75" customHeight="1" x14ac:dyDescent="0.25"/>
    <row r="740" ht="12.75" customHeight="1" x14ac:dyDescent="0.25"/>
    <row r="741" ht="12.75" customHeight="1" x14ac:dyDescent="0.25"/>
    <row r="742" ht="12.75" customHeight="1" x14ac:dyDescent="0.25"/>
    <row r="743" ht="12.75" customHeight="1" x14ac:dyDescent="0.25"/>
    <row r="744" ht="12.75" customHeight="1" x14ac:dyDescent="0.25"/>
    <row r="745" ht="12.75" customHeight="1" x14ac:dyDescent="0.25"/>
    <row r="746" ht="12.75" customHeight="1" x14ac:dyDescent="0.25"/>
    <row r="747" ht="12.75" customHeight="1" x14ac:dyDescent="0.25"/>
    <row r="748" ht="12.75" customHeight="1" x14ac:dyDescent="0.25"/>
    <row r="749" ht="12.75" customHeight="1" x14ac:dyDescent="0.25"/>
    <row r="750" ht="12.75" customHeight="1" x14ac:dyDescent="0.25"/>
    <row r="751" ht="12.75" customHeight="1" x14ac:dyDescent="0.25"/>
    <row r="752" ht="12.75" customHeight="1" x14ac:dyDescent="0.25"/>
    <row r="753" ht="12.75" customHeight="1" x14ac:dyDescent="0.25"/>
    <row r="754" ht="12.75" customHeight="1" x14ac:dyDescent="0.25"/>
    <row r="755" ht="12.75" customHeight="1" x14ac:dyDescent="0.25"/>
    <row r="756" ht="12.75" customHeight="1" x14ac:dyDescent="0.25"/>
    <row r="757" ht="12.75" customHeight="1" x14ac:dyDescent="0.25"/>
    <row r="758" ht="12.75" customHeight="1" x14ac:dyDescent="0.25"/>
    <row r="759" ht="12.75" customHeight="1" x14ac:dyDescent="0.25"/>
    <row r="760" ht="12.75" customHeight="1" x14ac:dyDescent="0.25"/>
    <row r="761" ht="12.75" customHeight="1" x14ac:dyDescent="0.25"/>
    <row r="762" ht="12.75" customHeight="1" x14ac:dyDescent="0.25"/>
    <row r="763" ht="12.75" customHeight="1" x14ac:dyDescent="0.25"/>
    <row r="764" ht="12.75" customHeight="1" x14ac:dyDescent="0.25"/>
    <row r="765" ht="12.75" customHeight="1" x14ac:dyDescent="0.25"/>
    <row r="766" ht="12.75" customHeight="1" x14ac:dyDescent="0.25"/>
    <row r="767" ht="12.75" customHeight="1" x14ac:dyDescent="0.25"/>
    <row r="768" ht="12.75" customHeight="1" x14ac:dyDescent="0.25"/>
    <row r="769" ht="12.75" customHeight="1" x14ac:dyDescent="0.25"/>
    <row r="770" ht="12.75" customHeight="1" x14ac:dyDescent="0.25"/>
    <row r="771" ht="12.75" customHeight="1" x14ac:dyDescent="0.25"/>
    <row r="772" ht="12.75" customHeight="1" x14ac:dyDescent="0.25"/>
    <row r="773" ht="12.75" customHeight="1" x14ac:dyDescent="0.25"/>
    <row r="774" ht="12.75" customHeight="1" x14ac:dyDescent="0.25"/>
    <row r="775" ht="12.75" customHeight="1" x14ac:dyDescent="0.25"/>
    <row r="776" ht="12.75" customHeight="1" x14ac:dyDescent="0.25"/>
    <row r="777" ht="12.75" customHeight="1" x14ac:dyDescent="0.25"/>
    <row r="778" ht="12.75" customHeight="1" x14ac:dyDescent="0.25"/>
    <row r="779" ht="12.75" customHeight="1" x14ac:dyDescent="0.25"/>
    <row r="780" ht="12.75" customHeight="1" x14ac:dyDescent="0.25"/>
    <row r="781" ht="12.75" customHeight="1" x14ac:dyDescent="0.25"/>
    <row r="782" ht="12.75" customHeight="1" x14ac:dyDescent="0.25"/>
    <row r="783" ht="12.75" customHeight="1" x14ac:dyDescent="0.25"/>
    <row r="784" ht="12.75" customHeight="1" x14ac:dyDescent="0.25"/>
    <row r="785" ht="12.75" customHeight="1" x14ac:dyDescent="0.25"/>
    <row r="786" ht="12.75" customHeight="1" x14ac:dyDescent="0.25"/>
    <row r="787" ht="12.75" customHeight="1" x14ac:dyDescent="0.25"/>
    <row r="788" ht="12.75" customHeight="1" x14ac:dyDescent="0.25"/>
    <row r="789" ht="12.75" customHeight="1" x14ac:dyDescent="0.25"/>
    <row r="790" ht="12.75" customHeight="1" x14ac:dyDescent="0.25"/>
    <row r="791" ht="12.75" customHeight="1" x14ac:dyDescent="0.25"/>
    <row r="792" ht="12.75" customHeight="1" x14ac:dyDescent="0.25"/>
    <row r="793" ht="12.75" customHeight="1" x14ac:dyDescent="0.25"/>
    <row r="794" ht="12.75" customHeight="1" x14ac:dyDescent="0.25"/>
    <row r="795" ht="12.75" customHeight="1" x14ac:dyDescent="0.25"/>
    <row r="796" ht="12.75" customHeight="1" x14ac:dyDescent="0.25"/>
    <row r="797" ht="12.75" customHeight="1" x14ac:dyDescent="0.25"/>
    <row r="798" ht="12.75" customHeight="1" x14ac:dyDescent="0.25"/>
    <row r="799" ht="12.75" customHeight="1" x14ac:dyDescent="0.25"/>
    <row r="800" ht="12.75" customHeight="1" x14ac:dyDescent="0.25"/>
    <row r="801" ht="12.75" customHeight="1" x14ac:dyDescent="0.25"/>
    <row r="802" ht="12.75" customHeight="1" x14ac:dyDescent="0.25"/>
    <row r="803" ht="12.75" customHeight="1" x14ac:dyDescent="0.25"/>
    <row r="804" ht="12.75" customHeight="1" x14ac:dyDescent="0.25"/>
    <row r="805" ht="12.75" customHeight="1" x14ac:dyDescent="0.25"/>
    <row r="806" ht="12.75" customHeight="1" x14ac:dyDescent="0.25"/>
    <row r="807" ht="12.75" customHeight="1" x14ac:dyDescent="0.25"/>
    <row r="808" ht="12.75" customHeight="1" x14ac:dyDescent="0.25"/>
    <row r="809" ht="12.75" customHeight="1" x14ac:dyDescent="0.25"/>
    <row r="810" ht="12.75" customHeight="1" x14ac:dyDescent="0.25"/>
    <row r="811" ht="12.75" customHeight="1" x14ac:dyDescent="0.25"/>
    <row r="812" ht="12.75" customHeight="1" x14ac:dyDescent="0.25"/>
    <row r="813" ht="12.75" customHeight="1" x14ac:dyDescent="0.25"/>
    <row r="814" ht="12.75" customHeight="1" x14ac:dyDescent="0.25"/>
    <row r="815" ht="12.75" customHeight="1" x14ac:dyDescent="0.25"/>
    <row r="816" ht="12.75" customHeight="1" x14ac:dyDescent="0.25"/>
    <row r="817" ht="12.75" customHeight="1" x14ac:dyDescent="0.25"/>
    <row r="818" ht="12.75" customHeight="1" x14ac:dyDescent="0.25"/>
    <row r="819" ht="12.75" customHeight="1" x14ac:dyDescent="0.25"/>
    <row r="820" ht="12.75" customHeight="1" x14ac:dyDescent="0.25"/>
    <row r="821" ht="12.75" customHeight="1" x14ac:dyDescent="0.25"/>
    <row r="822" ht="12.75" customHeight="1" x14ac:dyDescent="0.25"/>
    <row r="823" ht="12.75" customHeight="1" x14ac:dyDescent="0.25"/>
    <row r="824" ht="12.75" customHeight="1" x14ac:dyDescent="0.25"/>
    <row r="825" ht="12.75" customHeight="1" x14ac:dyDescent="0.25"/>
    <row r="826" ht="12.75" customHeight="1" x14ac:dyDescent="0.25"/>
    <row r="827" ht="12.75" customHeight="1" x14ac:dyDescent="0.25"/>
    <row r="828" ht="12.75" customHeight="1" x14ac:dyDescent="0.25"/>
    <row r="829" ht="12.75" customHeight="1" x14ac:dyDescent="0.25"/>
    <row r="830" ht="12.75" customHeight="1" x14ac:dyDescent="0.25"/>
    <row r="831" ht="12.75" customHeight="1" x14ac:dyDescent="0.25"/>
    <row r="832" ht="12.75" customHeight="1" x14ac:dyDescent="0.25"/>
    <row r="833" ht="12.75" customHeight="1" x14ac:dyDescent="0.25"/>
    <row r="834" ht="12.75" customHeight="1" x14ac:dyDescent="0.25"/>
    <row r="835" ht="12.75" customHeight="1" x14ac:dyDescent="0.25"/>
    <row r="836" ht="12.75" customHeight="1" x14ac:dyDescent="0.25"/>
    <row r="837" ht="12.75" customHeight="1" x14ac:dyDescent="0.25"/>
    <row r="838" ht="12.75" customHeight="1" x14ac:dyDescent="0.25"/>
    <row r="839" ht="12.75" customHeight="1" x14ac:dyDescent="0.25"/>
    <row r="840" ht="12.75" customHeight="1" x14ac:dyDescent="0.25"/>
    <row r="841" ht="12.75" customHeight="1" x14ac:dyDescent="0.25"/>
    <row r="842" ht="12.75" customHeight="1" x14ac:dyDescent="0.25"/>
    <row r="843" ht="12.75" customHeight="1" x14ac:dyDescent="0.25"/>
    <row r="844" ht="12.75" customHeight="1" x14ac:dyDescent="0.25"/>
    <row r="845" ht="12.75" customHeight="1" x14ac:dyDescent="0.25"/>
    <row r="846" ht="12.75" customHeight="1" x14ac:dyDescent="0.25"/>
    <row r="847" ht="12.75" customHeight="1" x14ac:dyDescent="0.25"/>
    <row r="848" ht="12.75" customHeight="1" x14ac:dyDescent="0.25"/>
    <row r="849" ht="12.75" customHeight="1" x14ac:dyDescent="0.25"/>
    <row r="850" ht="12.75" customHeight="1" x14ac:dyDescent="0.25"/>
    <row r="851" ht="12.75" customHeight="1" x14ac:dyDescent="0.25"/>
    <row r="852" ht="12.75" customHeight="1" x14ac:dyDescent="0.25"/>
    <row r="853" ht="12.75" customHeight="1" x14ac:dyDescent="0.25"/>
    <row r="854" ht="12.75" customHeight="1" x14ac:dyDescent="0.25"/>
    <row r="855" ht="12.75" customHeight="1" x14ac:dyDescent="0.25"/>
    <row r="856" ht="12.75" customHeight="1" x14ac:dyDescent="0.25"/>
    <row r="857" ht="12.75" customHeight="1" x14ac:dyDescent="0.25"/>
    <row r="858" ht="12.75" customHeight="1" x14ac:dyDescent="0.25"/>
    <row r="859" ht="12.75" customHeight="1" x14ac:dyDescent="0.25"/>
    <row r="860" ht="12.75" customHeight="1" x14ac:dyDescent="0.25"/>
    <row r="861" ht="12.75" customHeight="1" x14ac:dyDescent="0.25"/>
    <row r="862" ht="12.75" customHeight="1" x14ac:dyDescent="0.25"/>
    <row r="863" ht="12.75" customHeight="1" x14ac:dyDescent="0.25"/>
    <row r="864" ht="12.75" customHeight="1" x14ac:dyDescent="0.25"/>
    <row r="865" ht="12.75" customHeight="1" x14ac:dyDescent="0.25"/>
    <row r="866" ht="12.75" customHeight="1" x14ac:dyDescent="0.25"/>
    <row r="867" ht="12.75" customHeight="1" x14ac:dyDescent="0.25"/>
    <row r="868" ht="12.75" customHeight="1" x14ac:dyDescent="0.25"/>
    <row r="869" ht="12.75" customHeight="1" x14ac:dyDescent="0.25"/>
    <row r="870" ht="12.75" customHeight="1" x14ac:dyDescent="0.25"/>
    <row r="871" ht="12.75" customHeight="1" x14ac:dyDescent="0.25"/>
    <row r="872" ht="12.75" customHeight="1" x14ac:dyDescent="0.25"/>
    <row r="873" ht="12.75" customHeight="1" x14ac:dyDescent="0.25"/>
    <row r="874" ht="12.75" customHeight="1" x14ac:dyDescent="0.25"/>
    <row r="875" ht="12.75" customHeight="1" x14ac:dyDescent="0.25"/>
    <row r="876" ht="12.75" customHeight="1" x14ac:dyDescent="0.25"/>
    <row r="877" ht="12.75" customHeight="1" x14ac:dyDescent="0.25"/>
    <row r="878" ht="12.75" customHeight="1" x14ac:dyDescent="0.25"/>
    <row r="879" ht="12.75" customHeight="1" x14ac:dyDescent="0.25"/>
    <row r="880" ht="12.75" customHeight="1" x14ac:dyDescent="0.25"/>
    <row r="881" ht="12.75" customHeight="1" x14ac:dyDescent="0.25"/>
    <row r="882" ht="12.75" customHeight="1" x14ac:dyDescent="0.25"/>
    <row r="883" ht="12.75" customHeight="1" x14ac:dyDescent="0.25"/>
    <row r="884" ht="12.75" customHeight="1" x14ac:dyDescent="0.25"/>
    <row r="885" ht="12.75" customHeight="1" x14ac:dyDescent="0.25"/>
    <row r="886" ht="12.75" customHeight="1" x14ac:dyDescent="0.25"/>
    <row r="887" ht="12.75" customHeight="1" x14ac:dyDescent="0.25"/>
    <row r="888" ht="12.75" customHeight="1" x14ac:dyDescent="0.25"/>
    <row r="889" ht="12.75" customHeight="1" x14ac:dyDescent="0.25"/>
    <row r="890" ht="12.75" customHeight="1" x14ac:dyDescent="0.25"/>
    <row r="891" ht="12.75" customHeight="1" x14ac:dyDescent="0.25"/>
    <row r="892" ht="12.75" customHeight="1" x14ac:dyDescent="0.25"/>
    <row r="893" ht="12.75" customHeight="1" x14ac:dyDescent="0.25"/>
    <row r="894" ht="12.75" customHeight="1" x14ac:dyDescent="0.25"/>
    <row r="895" ht="12.75" customHeight="1" x14ac:dyDescent="0.25"/>
    <row r="896" ht="12.75" customHeight="1" x14ac:dyDescent="0.25"/>
    <row r="897" ht="12.75" customHeight="1" x14ac:dyDescent="0.25"/>
    <row r="898" ht="12.75" customHeight="1" x14ac:dyDescent="0.25"/>
    <row r="899" ht="12.75" customHeight="1" x14ac:dyDescent="0.25"/>
    <row r="900" ht="12.75" customHeight="1" x14ac:dyDescent="0.25"/>
    <row r="901" ht="12.75" customHeight="1" x14ac:dyDescent="0.25"/>
    <row r="902" ht="12.75" customHeight="1" x14ac:dyDescent="0.25"/>
    <row r="903" ht="12.75" customHeight="1" x14ac:dyDescent="0.25"/>
    <row r="904" ht="12.75" customHeight="1" x14ac:dyDescent="0.25"/>
    <row r="905" ht="12.75" customHeight="1" x14ac:dyDescent="0.25"/>
    <row r="906" ht="12.75" customHeight="1" x14ac:dyDescent="0.25"/>
    <row r="907" ht="12.75" customHeight="1" x14ac:dyDescent="0.25"/>
    <row r="908" ht="12.75" customHeight="1" x14ac:dyDescent="0.25"/>
    <row r="909" ht="12.75" customHeight="1" x14ac:dyDescent="0.25"/>
    <row r="910" ht="12.75" customHeight="1" x14ac:dyDescent="0.25"/>
    <row r="911" ht="12.75" customHeight="1" x14ac:dyDescent="0.25"/>
    <row r="912" ht="12.75" customHeight="1" x14ac:dyDescent="0.25"/>
    <row r="913" ht="12.75" customHeight="1" x14ac:dyDescent="0.25"/>
    <row r="914" ht="12.75" customHeight="1" x14ac:dyDescent="0.25"/>
    <row r="915" ht="12.75" customHeight="1" x14ac:dyDescent="0.25"/>
    <row r="916" ht="12.75" customHeight="1" x14ac:dyDescent="0.25"/>
    <row r="917" ht="12.75" customHeight="1" x14ac:dyDescent="0.25"/>
    <row r="918" ht="12.75" customHeight="1" x14ac:dyDescent="0.25"/>
    <row r="919" ht="12.75" customHeight="1" x14ac:dyDescent="0.25"/>
    <row r="920" ht="12.75" customHeight="1" x14ac:dyDescent="0.25"/>
    <row r="921" ht="12.75" customHeight="1" x14ac:dyDescent="0.25"/>
    <row r="922" ht="12.75" customHeight="1" x14ac:dyDescent="0.25"/>
    <row r="923" ht="12.75" customHeight="1" x14ac:dyDescent="0.25"/>
    <row r="924" ht="12.75" customHeight="1" x14ac:dyDescent="0.25"/>
    <row r="925" ht="12.75" customHeight="1" x14ac:dyDescent="0.25"/>
    <row r="926" ht="12.75" customHeight="1" x14ac:dyDescent="0.25"/>
    <row r="927" ht="12.75" customHeight="1" x14ac:dyDescent="0.25"/>
    <row r="928" ht="12.75" customHeight="1" x14ac:dyDescent="0.25"/>
    <row r="929" ht="12.75" customHeight="1" x14ac:dyDescent="0.25"/>
    <row r="930" ht="12.75" customHeight="1" x14ac:dyDescent="0.25"/>
    <row r="931" ht="12.75" customHeight="1" x14ac:dyDescent="0.25"/>
    <row r="932" ht="12.75" customHeight="1" x14ac:dyDescent="0.25"/>
    <row r="933" ht="12.75" customHeight="1" x14ac:dyDescent="0.25"/>
    <row r="934" ht="12.75" customHeight="1" x14ac:dyDescent="0.25"/>
    <row r="935" ht="12.75" customHeight="1" x14ac:dyDescent="0.25"/>
    <row r="936" ht="12.75" customHeight="1" x14ac:dyDescent="0.25"/>
    <row r="937" ht="12.75" customHeight="1" x14ac:dyDescent="0.25"/>
    <row r="938" ht="12.75" customHeight="1" x14ac:dyDescent="0.25"/>
    <row r="939" ht="12.75" customHeight="1" x14ac:dyDescent="0.25"/>
    <row r="940" ht="12.75" customHeight="1" x14ac:dyDescent="0.25"/>
    <row r="941" ht="12.75" customHeight="1" x14ac:dyDescent="0.25"/>
    <row r="942" ht="12.75" customHeight="1" x14ac:dyDescent="0.25"/>
    <row r="943" ht="12.75" customHeight="1" x14ac:dyDescent="0.25"/>
    <row r="944" ht="12.75" customHeight="1" x14ac:dyDescent="0.25"/>
    <row r="945" ht="12.75" customHeight="1" x14ac:dyDescent="0.25"/>
    <row r="946" ht="12.75" customHeight="1" x14ac:dyDescent="0.25"/>
    <row r="947" ht="12.75" customHeight="1" x14ac:dyDescent="0.25"/>
    <row r="948" ht="12.75" customHeight="1" x14ac:dyDescent="0.25"/>
    <row r="949" ht="12.75" customHeight="1" x14ac:dyDescent="0.25"/>
    <row r="950" ht="12.75" customHeight="1" x14ac:dyDescent="0.25"/>
    <row r="951" ht="12.75" customHeight="1" x14ac:dyDescent="0.25"/>
    <row r="952" ht="12.75" customHeight="1" x14ac:dyDescent="0.25"/>
    <row r="953" ht="12.75" customHeight="1" x14ac:dyDescent="0.25"/>
    <row r="954" ht="12.75" customHeight="1" x14ac:dyDescent="0.25"/>
    <row r="955" ht="12.75" customHeight="1" x14ac:dyDescent="0.25"/>
    <row r="956" ht="12.75" customHeight="1" x14ac:dyDescent="0.25"/>
    <row r="957" ht="12.75" customHeight="1" x14ac:dyDescent="0.25"/>
    <row r="958" ht="12.75" customHeight="1" x14ac:dyDescent="0.25"/>
    <row r="959" ht="12.75" customHeight="1" x14ac:dyDescent="0.25"/>
    <row r="960" ht="12.75" customHeight="1" x14ac:dyDescent="0.25"/>
    <row r="961" ht="12.75" customHeight="1" x14ac:dyDescent="0.25"/>
    <row r="962" ht="12.75" customHeight="1" x14ac:dyDescent="0.25"/>
    <row r="963" ht="12.75" customHeight="1" x14ac:dyDescent="0.25"/>
    <row r="964" ht="12.75" customHeight="1" x14ac:dyDescent="0.25"/>
    <row r="965" ht="12.75" customHeight="1" x14ac:dyDescent="0.25"/>
    <row r="966" ht="12.75" customHeight="1" x14ac:dyDescent="0.25"/>
    <row r="967" ht="12.75" customHeight="1" x14ac:dyDescent="0.25"/>
    <row r="968" ht="12.75" customHeight="1" x14ac:dyDescent="0.25"/>
    <row r="969" ht="12.75" customHeight="1" x14ac:dyDescent="0.25"/>
    <row r="970" ht="12.75" customHeight="1" x14ac:dyDescent="0.25"/>
    <row r="971" ht="12.75" customHeight="1" x14ac:dyDescent="0.25"/>
    <row r="972" ht="12.75" customHeight="1" x14ac:dyDescent="0.25"/>
    <row r="973" ht="12.75" customHeight="1" x14ac:dyDescent="0.25"/>
    <row r="974" ht="12.75" customHeight="1" x14ac:dyDescent="0.25"/>
    <row r="975" ht="12.75" customHeight="1" x14ac:dyDescent="0.25"/>
    <row r="976" ht="12.75" customHeight="1" x14ac:dyDescent="0.25"/>
    <row r="977" ht="12.75" customHeight="1" x14ac:dyDescent="0.25"/>
    <row r="978" ht="12.75" customHeight="1" x14ac:dyDescent="0.25"/>
    <row r="979" ht="12.75" customHeight="1" x14ac:dyDescent="0.25"/>
    <row r="980" ht="12.75" customHeight="1" x14ac:dyDescent="0.25"/>
    <row r="981" ht="12.75" customHeight="1" x14ac:dyDescent="0.25"/>
    <row r="982" ht="12.75" customHeight="1" x14ac:dyDescent="0.25"/>
    <row r="983" ht="12.75" customHeight="1" x14ac:dyDescent="0.25"/>
    <row r="984" ht="12.75" customHeight="1" x14ac:dyDescent="0.25"/>
    <row r="985" ht="12.75" customHeight="1" x14ac:dyDescent="0.25"/>
    <row r="986" ht="12.75" customHeight="1" x14ac:dyDescent="0.25"/>
    <row r="987" ht="12.75" customHeight="1" x14ac:dyDescent="0.25"/>
    <row r="988" ht="12.75" customHeight="1" x14ac:dyDescent="0.25"/>
    <row r="989" ht="12.75" customHeight="1" x14ac:dyDescent="0.25"/>
    <row r="990" ht="12.75" customHeight="1" x14ac:dyDescent="0.25"/>
    <row r="991" ht="12.75" customHeight="1" x14ac:dyDescent="0.25"/>
    <row r="992" ht="12.75" customHeight="1" x14ac:dyDescent="0.25"/>
    <row r="993" ht="12.75" customHeight="1" x14ac:dyDescent="0.25"/>
    <row r="994" ht="12.75" customHeight="1" x14ac:dyDescent="0.25"/>
    <row r="995" ht="12.75" customHeight="1" x14ac:dyDescent="0.25"/>
    <row r="996" ht="12.75" customHeight="1" x14ac:dyDescent="0.25"/>
    <row r="997" ht="12.75" customHeight="1" x14ac:dyDescent="0.25"/>
    <row r="998" ht="12.75" customHeight="1" x14ac:dyDescent="0.25"/>
    <row r="999" ht="12.75" customHeight="1" x14ac:dyDescent="0.25"/>
    <row r="1000" ht="12.75" customHeight="1" x14ac:dyDescent="0.25"/>
  </sheetData>
  <pageMargins left="0.511811024" right="0.511811024" top="0.78740157499999996" bottom="0.78740157499999996" header="0" footer="0"/>
  <pageSetup paperSize="9" orientation="portrait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BB1000"/>
  <sheetViews>
    <sheetView showGridLines="0" zoomScale="55" zoomScaleNormal="55" workbookViewId="0"/>
  </sheetViews>
  <sheetFormatPr defaultColWidth="12.5546875" defaultRowHeight="15" customHeight="1" x14ac:dyDescent="0.25"/>
  <cols>
    <col min="1" max="1" width="56.109375" customWidth="1"/>
    <col min="2" max="2" width="11.5546875" bestFit="1" customWidth="1"/>
    <col min="3" max="3" width="15" bestFit="1" customWidth="1"/>
    <col min="4" max="4" width="10.33203125" bestFit="1" customWidth="1"/>
    <col min="5" max="36" width="8.5546875" customWidth="1"/>
    <col min="37" max="37" width="8.6640625" customWidth="1"/>
    <col min="38" max="38" width="8.88671875" customWidth="1"/>
    <col min="39" max="39" width="8.33203125" customWidth="1"/>
    <col min="40" max="40" width="7.5546875" customWidth="1"/>
    <col min="41" max="41" width="6.5546875" customWidth="1"/>
    <col min="42" max="42" width="9.44140625" customWidth="1"/>
    <col min="43" max="43" width="9" customWidth="1"/>
    <col min="44" max="44" width="4.88671875" customWidth="1"/>
    <col min="45" max="45" width="8.44140625" customWidth="1"/>
    <col min="46" max="46" width="8.6640625" customWidth="1"/>
    <col min="47" max="47" width="8.88671875" customWidth="1"/>
    <col min="48" max="48" width="9.33203125" customWidth="1"/>
    <col min="49" max="49" width="10" customWidth="1"/>
    <col min="50" max="50" width="10.44140625" customWidth="1"/>
    <col min="51" max="52" width="4.88671875" customWidth="1"/>
    <col min="53" max="54" width="8.5546875" customWidth="1"/>
  </cols>
  <sheetData>
    <row r="1" spans="1:54" ht="23.4" thickBot="1" x14ac:dyDescent="0.45">
      <c r="A1" s="1" t="s">
        <v>106</v>
      </c>
      <c r="B1" s="1"/>
      <c r="C1" s="7"/>
      <c r="D1" s="7"/>
      <c r="E1" s="7"/>
      <c r="G1" s="7"/>
      <c r="H1" s="7"/>
      <c r="I1" s="7"/>
      <c r="J1" s="7"/>
      <c r="K1" s="7"/>
      <c r="L1" s="7"/>
      <c r="M1" s="7"/>
      <c r="N1" s="7"/>
      <c r="O1" s="7"/>
      <c r="P1" s="7"/>
      <c r="Q1" s="7"/>
      <c r="R1" s="7"/>
      <c r="Y1" s="7"/>
      <c r="Z1" s="7"/>
      <c r="AA1" s="7"/>
      <c r="AB1" s="7"/>
      <c r="AC1" s="7"/>
      <c r="AD1" s="7"/>
      <c r="AE1" s="7"/>
      <c r="AF1" s="7"/>
      <c r="AG1" s="7"/>
      <c r="AH1" s="7"/>
      <c r="BB1" s="7"/>
    </row>
    <row r="2" spans="1:54" ht="12.75" customHeight="1" thickBot="1" x14ac:dyDescent="0.3">
      <c r="A2" s="7"/>
      <c r="B2" s="7"/>
      <c r="C2" s="7"/>
      <c r="D2" s="7"/>
      <c r="E2" s="7"/>
      <c r="G2" s="7"/>
      <c r="H2" s="7"/>
      <c r="I2" s="7"/>
      <c r="J2" s="7"/>
      <c r="K2" s="7"/>
      <c r="L2" s="7"/>
      <c r="M2" s="7"/>
      <c r="N2" s="7"/>
      <c r="O2" s="7"/>
      <c r="P2" s="7"/>
      <c r="Q2" s="7"/>
      <c r="R2" s="7"/>
      <c r="X2" s="40" t="s">
        <v>75</v>
      </c>
      <c r="Y2" s="41">
        <v>9</v>
      </c>
      <c r="Z2" s="7"/>
      <c r="AC2" s="7"/>
      <c r="AF2" s="7"/>
      <c r="BB2" s="7"/>
    </row>
    <row r="3" spans="1:54" ht="12.75" customHeight="1" thickBot="1" x14ac:dyDescent="0.3">
      <c r="A3" s="7"/>
      <c r="B3" s="8"/>
      <c r="C3" s="7"/>
      <c r="D3" s="7"/>
      <c r="E3" s="7"/>
      <c r="G3" s="7"/>
      <c r="H3" s="7"/>
      <c r="I3" s="7"/>
      <c r="J3" s="7"/>
      <c r="K3" s="7"/>
      <c r="L3" s="7"/>
      <c r="M3" s="7"/>
      <c r="N3" s="7"/>
      <c r="O3" s="40" t="s">
        <v>41</v>
      </c>
      <c r="P3" s="41">
        <v>44</v>
      </c>
      <c r="Q3" s="7"/>
      <c r="X3" s="14">
        <f>P9</f>
        <v>170</v>
      </c>
      <c r="Y3" s="15">
        <f>X3+Y2</f>
        <v>179</v>
      </c>
      <c r="Z3" s="7"/>
      <c r="AC3" s="7"/>
      <c r="BB3" s="7"/>
    </row>
    <row r="4" spans="1:54" ht="12.75" customHeight="1" x14ac:dyDescent="0.25">
      <c r="A4" s="7"/>
      <c r="B4" s="7"/>
      <c r="C4" s="7"/>
      <c r="D4" s="7"/>
      <c r="E4" s="7"/>
      <c r="G4" s="7"/>
      <c r="H4" s="7"/>
      <c r="I4" s="7"/>
      <c r="J4" s="7"/>
      <c r="K4" s="7"/>
      <c r="L4" s="7"/>
      <c r="M4" s="7"/>
      <c r="N4" s="7"/>
      <c r="O4" s="14">
        <f>M9</f>
        <v>82</v>
      </c>
      <c r="P4" s="15">
        <f>O4+P3</f>
        <v>126</v>
      </c>
      <c r="Q4" s="7"/>
      <c r="X4" s="18">
        <f>Y4-Y2</f>
        <v>170</v>
      </c>
      <c r="Y4" s="19">
        <v>179</v>
      </c>
      <c r="Z4" s="7"/>
      <c r="AC4" s="7"/>
      <c r="BB4" s="7"/>
    </row>
    <row r="5" spans="1:54" ht="12.75" customHeight="1" thickBot="1" x14ac:dyDescent="0.3">
      <c r="A5" s="7"/>
      <c r="B5" s="7"/>
      <c r="C5" s="7"/>
      <c r="D5" s="7"/>
      <c r="E5" s="7"/>
      <c r="G5" s="7"/>
      <c r="H5" s="7"/>
      <c r="I5" s="7"/>
      <c r="J5" s="7"/>
      <c r="K5" s="7"/>
      <c r="L5" s="7"/>
      <c r="M5" s="7"/>
      <c r="N5" s="7"/>
      <c r="O5" s="18">
        <f>P5-P3</f>
        <v>135</v>
      </c>
      <c r="P5" s="19">
        <v>179</v>
      </c>
      <c r="Q5" s="7"/>
      <c r="T5" s="7"/>
      <c r="U5" s="7"/>
      <c r="V5" s="7"/>
      <c r="W5" s="7"/>
      <c r="X5" s="30">
        <f>X3-X4</f>
        <v>0</v>
      </c>
      <c r="Y5" s="30">
        <f>Y3-Y4</f>
        <v>0</v>
      </c>
      <c r="Z5" s="7"/>
      <c r="AC5" s="7"/>
      <c r="BB5" s="7"/>
    </row>
    <row r="6" spans="1:54" ht="12.75" customHeight="1" thickBot="1" x14ac:dyDescent="0.3">
      <c r="A6" s="9" t="s">
        <v>0</v>
      </c>
      <c r="B6" s="2" t="s">
        <v>2</v>
      </c>
      <c r="C6" s="2" t="s">
        <v>103</v>
      </c>
      <c r="D6" s="2" t="s">
        <v>104</v>
      </c>
      <c r="E6" s="34"/>
      <c r="F6" s="34"/>
      <c r="G6" s="34"/>
      <c r="H6" s="34"/>
      <c r="I6" s="34"/>
      <c r="J6" s="34"/>
      <c r="K6" s="34"/>
      <c r="L6" s="34"/>
      <c r="M6" s="34"/>
      <c r="N6" s="34"/>
      <c r="O6" s="36">
        <f t="shared" ref="O6:P6" si="0">O5-O4</f>
        <v>53</v>
      </c>
      <c r="P6" s="36">
        <f t="shared" si="0"/>
        <v>53</v>
      </c>
      <c r="Q6" s="7"/>
      <c r="T6" s="7"/>
      <c r="W6" s="7"/>
      <c r="Z6" s="7"/>
      <c r="AC6" s="7"/>
      <c r="BB6" s="7"/>
    </row>
    <row r="7" spans="1:54" ht="15" customHeight="1" thickBot="1" x14ac:dyDescent="0.3">
      <c r="A7" s="3" t="s">
        <v>6</v>
      </c>
      <c r="B7" s="4" t="s">
        <v>8</v>
      </c>
      <c r="C7" s="6"/>
      <c r="D7" s="6">
        <v>10</v>
      </c>
      <c r="E7" s="34"/>
      <c r="F7" s="34"/>
      <c r="G7" s="34"/>
      <c r="H7" s="34"/>
      <c r="I7" s="34"/>
      <c r="J7" s="34"/>
      <c r="K7" s="34"/>
      <c r="L7" s="34"/>
      <c r="M7" s="34"/>
      <c r="N7" s="34"/>
      <c r="O7" s="34"/>
      <c r="P7" s="34"/>
      <c r="Q7" s="7"/>
      <c r="T7" s="7"/>
      <c r="U7" s="40" t="s">
        <v>72</v>
      </c>
      <c r="V7" s="41">
        <v>9</v>
      </c>
      <c r="W7" s="7"/>
      <c r="AD7" s="7"/>
      <c r="AE7" s="7"/>
      <c r="BB7" s="7"/>
    </row>
    <row r="8" spans="1:54" ht="15" customHeight="1" thickBot="1" x14ac:dyDescent="0.3">
      <c r="A8" s="3" t="s">
        <v>9</v>
      </c>
      <c r="B8" s="4" t="s">
        <v>11</v>
      </c>
      <c r="C8" s="6" t="s">
        <v>8</v>
      </c>
      <c r="D8" s="6">
        <v>36</v>
      </c>
      <c r="E8" s="34"/>
      <c r="F8" s="34"/>
      <c r="G8" s="34"/>
      <c r="H8" s="34"/>
      <c r="I8" s="34"/>
      <c r="J8" s="34"/>
      <c r="K8" s="34"/>
      <c r="L8" s="42" t="s">
        <v>14</v>
      </c>
      <c r="M8" s="43">
        <v>36</v>
      </c>
      <c r="N8" s="34"/>
      <c r="O8" s="40" t="s">
        <v>44</v>
      </c>
      <c r="P8" s="41">
        <v>44</v>
      </c>
      <c r="Q8" s="7"/>
      <c r="T8" s="7"/>
      <c r="U8" s="14">
        <f>S19</f>
        <v>126</v>
      </c>
      <c r="V8" s="15">
        <f>U8+V7</f>
        <v>135</v>
      </c>
      <c r="W8" s="7"/>
      <c r="BB8" s="7"/>
    </row>
    <row r="9" spans="1:54" ht="15" customHeight="1" thickBot="1" x14ac:dyDescent="0.3">
      <c r="A9" s="3" t="s">
        <v>21</v>
      </c>
      <c r="B9" s="4" t="s">
        <v>14</v>
      </c>
      <c r="C9" s="6" t="s">
        <v>11</v>
      </c>
      <c r="D9" s="6">
        <v>36</v>
      </c>
      <c r="E9" s="34"/>
      <c r="F9" s="34"/>
      <c r="G9" s="34"/>
      <c r="H9" s="34"/>
      <c r="I9" s="34"/>
      <c r="L9" s="12">
        <f>J11</f>
        <v>46</v>
      </c>
      <c r="M9" s="13">
        <f>L9+M8</f>
        <v>82</v>
      </c>
      <c r="O9" s="14">
        <f>P4</f>
        <v>126</v>
      </c>
      <c r="P9" s="15">
        <f>O9+P8</f>
        <v>170</v>
      </c>
      <c r="Q9" s="7"/>
      <c r="T9" s="7"/>
      <c r="U9" s="18">
        <f>V9-V7</f>
        <v>161</v>
      </c>
      <c r="V9" s="19">
        <f>X4</f>
        <v>170</v>
      </c>
      <c r="W9" s="7"/>
      <c r="BB9" s="7"/>
    </row>
    <row r="10" spans="1:54" ht="15" customHeight="1" thickBot="1" x14ac:dyDescent="0.3">
      <c r="A10" s="3" t="s">
        <v>12</v>
      </c>
      <c r="B10" s="4" t="s">
        <v>17</v>
      </c>
      <c r="C10" s="6" t="s">
        <v>8</v>
      </c>
      <c r="D10" s="6">
        <v>36</v>
      </c>
      <c r="E10" s="34"/>
      <c r="F10" s="38" t="s">
        <v>8</v>
      </c>
      <c r="G10" s="39">
        <v>10</v>
      </c>
      <c r="H10" s="34"/>
      <c r="I10" s="38" t="s">
        <v>11</v>
      </c>
      <c r="J10" s="39">
        <v>36</v>
      </c>
      <c r="K10" s="34"/>
      <c r="L10" s="16">
        <f>M10-M8</f>
        <v>99</v>
      </c>
      <c r="M10" s="17">
        <f>O5</f>
        <v>135</v>
      </c>
      <c r="O10" s="18">
        <f>P10-P8</f>
        <v>126</v>
      </c>
      <c r="P10" s="19">
        <f>X4</f>
        <v>170</v>
      </c>
      <c r="Q10" s="7"/>
      <c r="T10" s="7"/>
      <c r="U10" s="36">
        <f t="shared" ref="U10:V10" si="1">U9-U8</f>
        <v>35</v>
      </c>
      <c r="V10" s="36">
        <f t="shared" si="1"/>
        <v>35</v>
      </c>
      <c r="BB10" s="7"/>
    </row>
    <row r="11" spans="1:54" ht="15" customHeight="1" thickBot="1" x14ac:dyDescent="0.3">
      <c r="A11" s="29" t="s">
        <v>15</v>
      </c>
      <c r="B11" s="10" t="s">
        <v>20</v>
      </c>
      <c r="C11" s="11" t="s">
        <v>17</v>
      </c>
      <c r="D11" s="11">
        <v>36</v>
      </c>
      <c r="E11" s="35"/>
      <c r="F11" s="12">
        <v>0</v>
      </c>
      <c r="G11" s="13">
        <f>G10+F11</f>
        <v>10</v>
      </c>
      <c r="H11" s="35"/>
      <c r="I11" s="12">
        <f>G11</f>
        <v>10</v>
      </c>
      <c r="J11" s="13">
        <f>I11+J10</f>
        <v>46</v>
      </c>
      <c r="K11" s="34"/>
      <c r="L11" s="37">
        <f t="shared" ref="L11:M11" si="2">L10-L9</f>
        <v>53</v>
      </c>
      <c r="M11" s="37">
        <f t="shared" si="2"/>
        <v>53</v>
      </c>
      <c r="O11" s="30">
        <f>O9-O10</f>
        <v>0</v>
      </c>
      <c r="P11" s="30">
        <f>P9-P10</f>
        <v>0</v>
      </c>
      <c r="Q11" s="7"/>
      <c r="T11" s="7"/>
      <c r="U11" s="7"/>
      <c r="V11" s="7"/>
      <c r="BB11" s="7"/>
    </row>
    <row r="12" spans="1:54" ht="15" customHeight="1" thickBot="1" x14ac:dyDescent="0.3">
      <c r="A12" s="3" t="s">
        <v>24</v>
      </c>
      <c r="B12" s="10" t="s">
        <v>23</v>
      </c>
      <c r="C12" s="11" t="s">
        <v>17</v>
      </c>
      <c r="D12" s="11">
        <v>36</v>
      </c>
      <c r="E12" s="35"/>
      <c r="F12" s="16">
        <f>G12-G10</f>
        <v>0</v>
      </c>
      <c r="G12" s="17">
        <f>MIN(I12,I20)</f>
        <v>10</v>
      </c>
      <c r="H12" s="35"/>
      <c r="I12" s="16">
        <f>J12-J10</f>
        <v>63</v>
      </c>
      <c r="J12" s="17">
        <f>L10</f>
        <v>99</v>
      </c>
      <c r="K12" s="35"/>
      <c r="Q12" s="7"/>
      <c r="R12" s="7"/>
      <c r="S12" s="7"/>
      <c r="T12" s="7"/>
      <c r="U12" s="40" t="s">
        <v>66</v>
      </c>
      <c r="V12" s="41">
        <v>9</v>
      </c>
      <c r="BB12" s="7"/>
    </row>
    <row r="13" spans="1:54" ht="15" customHeight="1" thickBot="1" x14ac:dyDescent="0.3">
      <c r="A13" s="3" t="s">
        <v>27</v>
      </c>
      <c r="B13" s="10" t="s">
        <v>26</v>
      </c>
      <c r="C13" s="11" t="s">
        <v>117</v>
      </c>
      <c r="D13" s="11">
        <v>4</v>
      </c>
      <c r="E13" s="35"/>
      <c r="F13" s="21">
        <f>F11-F12</f>
        <v>0</v>
      </c>
      <c r="G13" s="21">
        <f>G11-G12</f>
        <v>0</v>
      </c>
      <c r="H13" s="35"/>
      <c r="I13" s="37">
        <f t="shared" ref="I13:J13" si="3">I12-I11</f>
        <v>53</v>
      </c>
      <c r="J13" s="37">
        <f t="shared" si="3"/>
        <v>53</v>
      </c>
      <c r="K13" s="35"/>
      <c r="N13" s="35"/>
      <c r="O13" s="40" t="s">
        <v>57</v>
      </c>
      <c r="P13" s="41">
        <v>44</v>
      </c>
      <c r="U13" s="14">
        <f>S19</f>
        <v>126</v>
      </c>
      <c r="V13" s="15">
        <f>U13+V12</f>
        <v>135</v>
      </c>
      <c r="AE13" s="7"/>
      <c r="BB13" s="7"/>
    </row>
    <row r="14" spans="1:54" ht="15" customHeight="1" x14ac:dyDescent="0.25">
      <c r="A14" s="3" t="s">
        <v>30</v>
      </c>
      <c r="B14" s="10" t="s">
        <v>29</v>
      </c>
      <c r="C14" s="11" t="s">
        <v>26</v>
      </c>
      <c r="D14" s="11">
        <v>4</v>
      </c>
      <c r="E14" s="35"/>
      <c r="F14" s="35"/>
      <c r="G14" s="35"/>
      <c r="H14" s="35"/>
      <c r="I14" s="35"/>
      <c r="J14" s="35"/>
      <c r="K14" s="35"/>
      <c r="L14" s="35"/>
      <c r="M14" s="35"/>
      <c r="N14" s="35"/>
      <c r="O14" s="14">
        <f>J19</f>
        <v>46</v>
      </c>
      <c r="P14" s="15">
        <f>O14+P13</f>
        <v>90</v>
      </c>
      <c r="U14" s="18">
        <f>V14-V12</f>
        <v>170</v>
      </c>
      <c r="V14" s="19">
        <v>179</v>
      </c>
      <c r="Z14" s="7"/>
      <c r="AE14" s="7"/>
      <c r="BB14" s="7"/>
    </row>
    <row r="15" spans="1:54" ht="12.75" customHeight="1" thickBot="1" x14ac:dyDescent="0.3">
      <c r="A15" s="3" t="s">
        <v>33</v>
      </c>
      <c r="B15" s="10" t="s">
        <v>32</v>
      </c>
      <c r="C15" s="11" t="s">
        <v>23</v>
      </c>
      <c r="D15" s="11">
        <v>4</v>
      </c>
      <c r="E15" s="35"/>
      <c r="F15" s="35"/>
      <c r="G15" s="35"/>
      <c r="H15" s="35"/>
      <c r="I15" s="35"/>
      <c r="J15" s="35"/>
      <c r="K15" s="35"/>
      <c r="L15" s="35"/>
      <c r="M15" s="35"/>
      <c r="N15" s="35"/>
      <c r="O15" s="18">
        <f>P15-P13</f>
        <v>135</v>
      </c>
      <c r="P15" s="19">
        <v>179</v>
      </c>
      <c r="U15" s="36">
        <f t="shared" ref="U15:V15" si="4">U14-U13</f>
        <v>44</v>
      </c>
      <c r="V15" s="36">
        <f t="shared" si="4"/>
        <v>44</v>
      </c>
      <c r="Z15" s="7"/>
      <c r="BB15" s="7"/>
    </row>
    <row r="16" spans="1:54" ht="12.75" customHeight="1" thickBot="1" x14ac:dyDescent="0.3">
      <c r="A16" s="3" t="s">
        <v>36</v>
      </c>
      <c r="B16" s="10" t="s">
        <v>35</v>
      </c>
      <c r="C16" s="11" t="s">
        <v>118</v>
      </c>
      <c r="D16" s="11">
        <v>44</v>
      </c>
      <c r="E16" s="35"/>
      <c r="F16" s="40" t="s">
        <v>52</v>
      </c>
      <c r="G16" s="41">
        <v>44</v>
      </c>
      <c r="H16" s="35"/>
      <c r="N16" s="35"/>
      <c r="O16" s="36">
        <f t="shared" ref="O16:P16" si="5">O15-O14</f>
        <v>89</v>
      </c>
      <c r="P16" s="36">
        <f t="shared" si="5"/>
        <v>89</v>
      </c>
      <c r="BB16" s="7"/>
    </row>
    <row r="17" spans="1:54" ht="12.75" customHeight="1" thickBot="1" x14ac:dyDescent="0.3">
      <c r="A17" s="3" t="s">
        <v>39</v>
      </c>
      <c r="B17" s="10" t="s">
        <v>38</v>
      </c>
      <c r="C17" s="11" t="s">
        <v>119</v>
      </c>
      <c r="D17" s="11">
        <v>44</v>
      </c>
      <c r="E17" s="35"/>
      <c r="F17" s="14">
        <v>0</v>
      </c>
      <c r="G17" s="15">
        <f>F17+G16</f>
        <v>44</v>
      </c>
      <c r="H17" s="35"/>
      <c r="N17" s="35"/>
      <c r="T17" s="7"/>
      <c r="U17" s="7"/>
      <c r="V17" s="7"/>
      <c r="BB17" s="7"/>
    </row>
    <row r="18" spans="1:54" ht="12.75" customHeight="1" thickBot="1" x14ac:dyDescent="0.3">
      <c r="A18" s="3" t="s">
        <v>45</v>
      </c>
      <c r="B18" s="10" t="s">
        <v>41</v>
      </c>
      <c r="C18" s="11" t="s">
        <v>14</v>
      </c>
      <c r="D18" s="11">
        <v>44</v>
      </c>
      <c r="E18" s="35"/>
      <c r="F18" s="18">
        <f>G18-G16</f>
        <v>135</v>
      </c>
      <c r="G18" s="19">
        <v>179</v>
      </c>
      <c r="H18" s="35"/>
      <c r="I18" s="38" t="s">
        <v>17</v>
      </c>
      <c r="J18" s="39">
        <v>36</v>
      </c>
      <c r="N18" s="35"/>
      <c r="R18" s="40" t="s">
        <v>38</v>
      </c>
      <c r="S18" s="41">
        <v>44</v>
      </c>
      <c r="T18" s="7"/>
      <c r="U18" s="40" t="s">
        <v>47</v>
      </c>
      <c r="V18" s="41">
        <v>44</v>
      </c>
      <c r="X18" s="40" t="s">
        <v>69</v>
      </c>
      <c r="Y18" s="41">
        <v>9</v>
      </c>
      <c r="BB18" s="7"/>
    </row>
    <row r="19" spans="1:54" ht="12.75" customHeight="1" thickBot="1" x14ac:dyDescent="0.3">
      <c r="A19" s="3" t="s">
        <v>18</v>
      </c>
      <c r="B19" s="10" t="s">
        <v>44</v>
      </c>
      <c r="C19" s="11" t="s">
        <v>120</v>
      </c>
      <c r="D19" s="11">
        <v>44</v>
      </c>
      <c r="E19" s="35"/>
      <c r="F19" s="36">
        <f t="shared" ref="F19:G19" si="6">F18-F17</f>
        <v>135</v>
      </c>
      <c r="G19" s="36">
        <f t="shared" si="6"/>
        <v>135</v>
      </c>
      <c r="H19" s="35"/>
      <c r="I19" s="12">
        <f>G11</f>
        <v>10</v>
      </c>
      <c r="J19" s="13">
        <f>I19+J18</f>
        <v>46</v>
      </c>
      <c r="N19" s="35"/>
      <c r="R19" s="14">
        <f>M24</f>
        <v>82</v>
      </c>
      <c r="S19" s="15">
        <f>R19+S18</f>
        <v>126</v>
      </c>
      <c r="T19" s="7"/>
      <c r="U19" s="14">
        <f>S19</f>
        <v>126</v>
      </c>
      <c r="V19" s="15">
        <f>U19+V18</f>
        <v>170</v>
      </c>
      <c r="X19" s="14">
        <f>V19</f>
        <v>170</v>
      </c>
      <c r="Y19" s="15">
        <f>X19+Y18</f>
        <v>179</v>
      </c>
      <c r="AF19" s="7"/>
      <c r="AG19" s="7"/>
      <c r="BB19" s="7"/>
    </row>
    <row r="20" spans="1:54" ht="12.75" customHeight="1" x14ac:dyDescent="0.25">
      <c r="A20" s="3" t="s">
        <v>48</v>
      </c>
      <c r="B20" s="10" t="s">
        <v>47</v>
      </c>
      <c r="C20" s="11" t="s">
        <v>38</v>
      </c>
      <c r="D20" s="11">
        <v>44</v>
      </c>
      <c r="E20" s="35"/>
      <c r="H20" s="35"/>
      <c r="I20" s="16">
        <f>J20-J18</f>
        <v>10</v>
      </c>
      <c r="J20" s="17">
        <f>MIN(I39,L37,L31,L25,O15,O10,R20,R26)</f>
        <v>46</v>
      </c>
      <c r="K20" s="35"/>
      <c r="N20" s="35"/>
      <c r="R20" s="18">
        <f>S20-S18</f>
        <v>82</v>
      </c>
      <c r="S20" s="19">
        <f>MIN(U20,U14,U9,U26)</f>
        <v>126</v>
      </c>
      <c r="T20" s="7"/>
      <c r="U20" s="18">
        <f>V20-V18</f>
        <v>126</v>
      </c>
      <c r="V20" s="19">
        <f>MIN(X4,F30)</f>
        <v>170</v>
      </c>
      <c r="X20" s="18">
        <f>Y20-Y18</f>
        <v>170</v>
      </c>
      <c r="Y20" s="19">
        <v>179</v>
      </c>
      <c r="AF20" s="7"/>
      <c r="BB20" s="7"/>
    </row>
    <row r="21" spans="1:54" ht="12.75" customHeight="1" thickBot="1" x14ac:dyDescent="0.3">
      <c r="A21" s="3" t="s">
        <v>42</v>
      </c>
      <c r="B21" s="10" t="s">
        <v>50</v>
      </c>
      <c r="C21" s="11" t="s">
        <v>17</v>
      </c>
      <c r="D21" s="11">
        <v>44</v>
      </c>
      <c r="E21" s="35"/>
      <c r="H21" s="35"/>
      <c r="I21" s="21">
        <f>I19-I20</f>
        <v>0</v>
      </c>
      <c r="J21" s="21">
        <f>J19-J20</f>
        <v>0</v>
      </c>
      <c r="K21" s="35"/>
      <c r="N21" s="35"/>
      <c r="R21" s="30">
        <f>R19-R20</f>
        <v>0</v>
      </c>
      <c r="S21" s="30">
        <f>S19-S20</f>
        <v>0</v>
      </c>
      <c r="T21" s="7"/>
      <c r="U21" s="30">
        <f>U19-U20</f>
        <v>0</v>
      </c>
      <c r="V21" s="30">
        <f>V19-V20</f>
        <v>0</v>
      </c>
      <c r="X21" s="22">
        <f>X19-X20</f>
        <v>0</v>
      </c>
      <c r="Y21" s="22">
        <f>Y19-Y20</f>
        <v>0</v>
      </c>
      <c r="BB21" s="7"/>
    </row>
    <row r="22" spans="1:54" ht="12.75" customHeight="1" thickBot="1" x14ac:dyDescent="0.3">
      <c r="A22" s="3" t="s">
        <v>128</v>
      </c>
      <c r="B22" s="10" t="s">
        <v>52</v>
      </c>
      <c r="C22" s="11" t="s">
        <v>105</v>
      </c>
      <c r="D22" s="11">
        <v>44</v>
      </c>
      <c r="E22" s="35"/>
      <c r="F22" s="40" t="s">
        <v>54</v>
      </c>
      <c r="G22" s="41">
        <v>44</v>
      </c>
      <c r="H22" s="35"/>
      <c r="I22" s="35"/>
      <c r="J22" s="35"/>
      <c r="K22" s="35"/>
      <c r="N22" s="35"/>
      <c r="R22" s="35"/>
      <c r="S22" s="35"/>
    </row>
    <row r="23" spans="1:54" ht="12.75" customHeight="1" thickBot="1" x14ac:dyDescent="0.3">
      <c r="A23" s="3" t="s">
        <v>129</v>
      </c>
      <c r="B23" s="10" t="s">
        <v>54</v>
      </c>
      <c r="C23" s="11" t="s">
        <v>105</v>
      </c>
      <c r="D23" s="11">
        <v>44</v>
      </c>
      <c r="E23" s="35"/>
      <c r="F23" s="14">
        <v>0</v>
      </c>
      <c r="G23" s="15">
        <f>F23+G22</f>
        <v>44</v>
      </c>
      <c r="H23" s="35"/>
      <c r="I23" s="35"/>
      <c r="J23" s="35"/>
      <c r="K23" s="35"/>
      <c r="L23" s="38" t="s">
        <v>20</v>
      </c>
      <c r="M23" s="39">
        <v>36</v>
      </c>
      <c r="N23" s="35"/>
      <c r="R23" s="35"/>
      <c r="S23" s="35"/>
      <c r="AC23" s="7"/>
    </row>
    <row r="24" spans="1:54" ht="12.75" customHeight="1" thickBot="1" x14ac:dyDescent="0.3">
      <c r="A24" s="3" t="s">
        <v>55</v>
      </c>
      <c r="B24" s="10" t="s">
        <v>57</v>
      </c>
      <c r="C24" s="11" t="s">
        <v>17</v>
      </c>
      <c r="D24" s="11">
        <v>44</v>
      </c>
      <c r="E24" s="35"/>
      <c r="F24" s="18">
        <f>G24-G22</f>
        <v>135</v>
      </c>
      <c r="G24" s="19">
        <v>179</v>
      </c>
      <c r="H24" s="35"/>
      <c r="I24" s="35"/>
      <c r="J24" s="35"/>
      <c r="K24" s="35"/>
      <c r="L24" s="12">
        <f>J19</f>
        <v>46</v>
      </c>
      <c r="M24" s="13">
        <f>L24+M23</f>
        <v>82</v>
      </c>
      <c r="N24" s="35"/>
      <c r="R24" s="40" t="s">
        <v>35</v>
      </c>
      <c r="S24" s="41">
        <v>44</v>
      </c>
      <c r="U24" s="40" t="s">
        <v>60</v>
      </c>
      <c r="V24" s="41">
        <v>9</v>
      </c>
      <c r="X24" s="7"/>
      <c r="AA24" s="40" t="s">
        <v>90</v>
      </c>
      <c r="AB24" s="41">
        <v>2</v>
      </c>
      <c r="AC24" s="7"/>
      <c r="AD24" s="7"/>
      <c r="AG24" s="7"/>
      <c r="AL24" s="7"/>
      <c r="AM24" s="7"/>
      <c r="AP24" s="7"/>
      <c r="AQ24" s="7"/>
      <c r="AR24" s="7"/>
      <c r="AU24" s="7"/>
      <c r="AV24" s="7"/>
      <c r="AY24" s="7"/>
      <c r="AZ24" s="7"/>
    </row>
    <row r="25" spans="1:54" ht="12.75" customHeight="1" thickBot="1" x14ac:dyDescent="0.3">
      <c r="A25" s="3" t="s">
        <v>58</v>
      </c>
      <c r="B25" s="10" t="s">
        <v>60</v>
      </c>
      <c r="C25" s="11" t="s">
        <v>121</v>
      </c>
      <c r="D25" s="11">
        <v>9</v>
      </c>
      <c r="E25" s="35"/>
      <c r="F25" s="36">
        <f t="shared" ref="F25:G25" si="7">F24-F23</f>
        <v>135</v>
      </c>
      <c r="G25" s="36">
        <f t="shared" si="7"/>
        <v>135</v>
      </c>
      <c r="H25" s="35"/>
      <c r="I25" s="35"/>
      <c r="J25" s="35"/>
      <c r="K25" s="35"/>
      <c r="L25" s="16">
        <f>M25-M23</f>
        <v>46</v>
      </c>
      <c r="M25" s="17">
        <f>MIN(R20,R26)</f>
        <v>82</v>
      </c>
      <c r="N25" s="35"/>
      <c r="R25" s="14">
        <f>M24</f>
        <v>82</v>
      </c>
      <c r="S25" s="15">
        <f>R25+S24</f>
        <v>126</v>
      </c>
      <c r="U25" s="14">
        <f>S19</f>
        <v>126</v>
      </c>
      <c r="V25" s="15">
        <f>U25+V24</f>
        <v>135</v>
      </c>
      <c r="X25" s="7"/>
      <c r="Y25" s="7"/>
      <c r="AA25" s="31">
        <f>MAX(Z33,V25)</f>
        <v>137</v>
      </c>
      <c r="AB25" s="15">
        <f>AA25+AB24</f>
        <v>139</v>
      </c>
      <c r="AC25" s="7"/>
      <c r="AD25" s="7"/>
      <c r="AG25" s="7"/>
      <c r="AL25" s="7"/>
      <c r="AM25" s="7"/>
      <c r="AP25" s="7"/>
      <c r="AQ25" s="7"/>
      <c r="AR25" s="7"/>
      <c r="AY25" s="7"/>
      <c r="AZ25" s="7"/>
    </row>
    <row r="26" spans="1:54" ht="12.75" customHeight="1" thickBot="1" x14ac:dyDescent="0.3">
      <c r="A26" s="3" t="s">
        <v>61</v>
      </c>
      <c r="B26" s="10" t="s">
        <v>63</v>
      </c>
      <c r="C26" s="11" t="s">
        <v>23</v>
      </c>
      <c r="D26" s="11">
        <v>9</v>
      </c>
      <c r="E26" s="35"/>
      <c r="F26" s="35"/>
      <c r="G26" s="35"/>
      <c r="H26" s="35"/>
      <c r="I26" s="35"/>
      <c r="J26" s="35"/>
      <c r="K26" s="35"/>
      <c r="L26" s="21">
        <f>L24-L25</f>
        <v>0</v>
      </c>
      <c r="M26" s="21">
        <f>M24-M25</f>
        <v>0</v>
      </c>
      <c r="N26" s="35"/>
      <c r="R26" s="18">
        <f>S26-S24</f>
        <v>82</v>
      </c>
      <c r="S26" s="19">
        <f>U26</f>
        <v>126</v>
      </c>
      <c r="T26" s="7"/>
      <c r="U26" s="18">
        <f>V26-V24</f>
        <v>126</v>
      </c>
      <c r="V26" s="19">
        <f>MIN(Y34,AA26)</f>
        <v>135</v>
      </c>
      <c r="X26" s="7"/>
      <c r="Y26" s="7"/>
      <c r="AA26" s="18">
        <f>AB26-AB24</f>
        <v>137</v>
      </c>
      <c r="AB26" s="19">
        <f>AD33</f>
        <v>139</v>
      </c>
      <c r="AC26" s="7"/>
      <c r="AJ26" s="7"/>
      <c r="AK26" s="7"/>
      <c r="AL26" s="7"/>
      <c r="AM26" s="7"/>
      <c r="AP26" s="7"/>
      <c r="AQ26" s="7"/>
      <c r="AR26" s="7"/>
      <c r="AY26" s="7"/>
      <c r="AZ26" s="7"/>
      <c r="BA26" s="7"/>
      <c r="BB26" s="7"/>
    </row>
    <row r="27" spans="1:54" ht="12.75" customHeight="1" thickBot="1" x14ac:dyDescent="0.3">
      <c r="A27" s="3" t="s">
        <v>64</v>
      </c>
      <c r="B27" s="10" t="s">
        <v>66</v>
      </c>
      <c r="C27" s="11" t="s">
        <v>38</v>
      </c>
      <c r="D27" s="11">
        <v>9</v>
      </c>
      <c r="E27" s="35"/>
      <c r="F27" s="35"/>
      <c r="G27" s="35"/>
      <c r="H27" s="35"/>
      <c r="I27" s="35"/>
      <c r="J27" s="35"/>
      <c r="K27" s="35"/>
      <c r="L27" s="35"/>
      <c r="M27" s="35"/>
      <c r="N27" s="35"/>
      <c r="R27" s="30">
        <f t="shared" ref="R27:S27" si="8">R26-R25</f>
        <v>0</v>
      </c>
      <c r="S27" s="30">
        <f t="shared" si="8"/>
        <v>0</v>
      </c>
      <c r="T27" s="7"/>
      <c r="U27" s="22">
        <f t="shared" ref="U27:V27" si="9">U26-U25</f>
        <v>0</v>
      </c>
      <c r="V27" s="22">
        <f t="shared" si="9"/>
        <v>0</v>
      </c>
      <c r="X27" s="7"/>
      <c r="AA27" s="22">
        <f>AA26-AA25</f>
        <v>0</v>
      </c>
      <c r="AB27" s="22">
        <f>AB26-AB25</f>
        <v>0</v>
      </c>
      <c r="AJ27" s="7"/>
      <c r="AM27" s="7"/>
      <c r="AP27" s="7"/>
      <c r="AQ27" s="7"/>
      <c r="AR27" s="7"/>
      <c r="AS27" s="7"/>
      <c r="AT27" s="7"/>
      <c r="AW27" s="7"/>
      <c r="AX27" s="7"/>
      <c r="AY27" s="7"/>
      <c r="AZ27" s="7"/>
      <c r="BA27" s="7"/>
      <c r="BB27" s="7"/>
    </row>
    <row r="28" spans="1:54" ht="12.75" customHeight="1" thickBot="1" x14ac:dyDescent="0.3">
      <c r="A28" s="3" t="s">
        <v>67</v>
      </c>
      <c r="B28" s="10" t="s">
        <v>69</v>
      </c>
      <c r="C28" s="11" t="s">
        <v>47</v>
      </c>
      <c r="D28" s="11">
        <v>9</v>
      </c>
      <c r="E28" s="35"/>
      <c r="F28" s="40" t="s">
        <v>78</v>
      </c>
      <c r="G28" s="41">
        <v>2</v>
      </c>
      <c r="H28" s="35"/>
      <c r="I28" s="35"/>
      <c r="J28" s="35"/>
      <c r="K28" s="35"/>
      <c r="L28" s="35"/>
      <c r="M28" s="35"/>
      <c r="N28" s="35"/>
      <c r="R28" s="35"/>
      <c r="S28" s="35"/>
      <c r="T28" s="7"/>
      <c r="U28" s="7"/>
      <c r="V28" s="7"/>
      <c r="AJ28" s="7"/>
      <c r="AM28" s="7"/>
      <c r="AP28" s="7"/>
      <c r="AQ28" s="7"/>
      <c r="AT28" s="7"/>
      <c r="AW28" s="7"/>
      <c r="AX28" s="7"/>
      <c r="AY28" s="7"/>
      <c r="AZ28" s="7"/>
      <c r="BA28" s="7"/>
      <c r="BB28" s="7"/>
    </row>
    <row r="29" spans="1:54" ht="12.75" customHeight="1" thickBot="1" x14ac:dyDescent="0.3">
      <c r="A29" s="3" t="s">
        <v>73</v>
      </c>
      <c r="B29" s="10" t="s">
        <v>72</v>
      </c>
      <c r="C29" s="11" t="s">
        <v>38</v>
      </c>
      <c r="D29" s="11">
        <v>9</v>
      </c>
      <c r="E29" s="35"/>
      <c r="F29" s="14">
        <v>0</v>
      </c>
      <c r="G29" s="15">
        <f>F29+G28</f>
        <v>2</v>
      </c>
      <c r="H29" s="35"/>
      <c r="I29" s="35"/>
      <c r="J29" s="35"/>
      <c r="K29" s="35"/>
      <c r="L29" s="38" t="s">
        <v>23</v>
      </c>
      <c r="M29" s="39">
        <v>36</v>
      </c>
      <c r="N29" s="35"/>
      <c r="R29" s="35"/>
      <c r="S29" s="35"/>
      <c r="T29" s="7"/>
      <c r="U29" s="7"/>
      <c r="V29" s="7"/>
      <c r="AI29" s="7"/>
      <c r="AJ29" s="7"/>
      <c r="AM29" s="7"/>
      <c r="AN29" s="7"/>
      <c r="AO29" s="7"/>
      <c r="AP29" s="7"/>
      <c r="AQ29" s="7"/>
      <c r="AT29" s="7"/>
      <c r="AU29" s="7"/>
      <c r="AV29" s="7"/>
      <c r="AY29" s="7"/>
      <c r="AZ29" s="7"/>
      <c r="BA29" s="7"/>
      <c r="BB29" s="7"/>
    </row>
    <row r="30" spans="1:54" ht="12.75" customHeight="1" thickBot="1" x14ac:dyDescent="0.3">
      <c r="A30" s="3" t="s">
        <v>70</v>
      </c>
      <c r="B30" s="10" t="s">
        <v>75</v>
      </c>
      <c r="C30" s="11" t="s">
        <v>122</v>
      </c>
      <c r="D30" s="11">
        <v>9</v>
      </c>
      <c r="E30" s="35"/>
      <c r="F30" s="18">
        <f>G30-G28</f>
        <v>177</v>
      </c>
      <c r="G30" s="19">
        <v>179</v>
      </c>
      <c r="H30" s="35"/>
      <c r="I30" s="35"/>
      <c r="J30" s="35"/>
      <c r="K30" s="35"/>
      <c r="L30" s="12">
        <f>J19</f>
        <v>46</v>
      </c>
      <c r="M30" s="13">
        <f>L30+M29</f>
        <v>82</v>
      </c>
      <c r="N30" s="35"/>
      <c r="R30" s="38" t="s">
        <v>32</v>
      </c>
      <c r="S30" s="39">
        <v>4</v>
      </c>
      <c r="T30" s="7"/>
      <c r="AI30" s="7"/>
      <c r="AJ30" s="7"/>
      <c r="AM30" s="7"/>
      <c r="AN30" s="7"/>
      <c r="AQ30" s="7"/>
      <c r="AT30" s="7"/>
      <c r="AY30" s="7"/>
      <c r="AZ30" s="7"/>
      <c r="BA30" s="7"/>
      <c r="BB30" s="7"/>
    </row>
    <row r="31" spans="1:54" ht="12.75" customHeight="1" thickBot="1" x14ac:dyDescent="0.3">
      <c r="A31" s="3" t="s">
        <v>76</v>
      </c>
      <c r="B31" s="10" t="s">
        <v>78</v>
      </c>
      <c r="C31" s="11" t="s">
        <v>105</v>
      </c>
      <c r="D31" s="11">
        <v>2</v>
      </c>
      <c r="E31" s="35"/>
      <c r="F31" s="36">
        <f t="shared" ref="F31:G31" si="10">F30-F29</f>
        <v>177</v>
      </c>
      <c r="G31" s="36">
        <f t="shared" si="10"/>
        <v>177</v>
      </c>
      <c r="H31" s="35"/>
      <c r="I31" s="35"/>
      <c r="J31" s="35"/>
      <c r="K31" s="35"/>
      <c r="L31" s="16">
        <f>M31-M29</f>
        <v>90</v>
      </c>
      <c r="M31" s="17">
        <f>MIN(O44,R32,L37)</f>
        <v>126</v>
      </c>
      <c r="N31" s="35"/>
      <c r="R31" s="12">
        <f>M30</f>
        <v>82</v>
      </c>
      <c r="S31" s="13">
        <f>R31+S30</f>
        <v>86</v>
      </c>
      <c r="T31" s="7"/>
      <c r="AD31" s="40" t="s">
        <v>93</v>
      </c>
      <c r="AE31" s="41">
        <v>2</v>
      </c>
      <c r="AI31" s="7"/>
      <c r="AJ31" s="7"/>
      <c r="AM31" s="7"/>
      <c r="AN31" s="7"/>
      <c r="AQ31" s="7"/>
      <c r="AT31" s="7"/>
      <c r="AY31" s="7"/>
      <c r="AZ31" s="7"/>
      <c r="BA31" s="7"/>
      <c r="BB31" s="7"/>
    </row>
    <row r="32" spans="1:54" ht="12.75" customHeight="1" thickBot="1" x14ac:dyDescent="0.3">
      <c r="A32" s="3" t="s">
        <v>85</v>
      </c>
      <c r="B32" s="10" t="s">
        <v>81</v>
      </c>
      <c r="C32" s="11" t="s">
        <v>78</v>
      </c>
      <c r="D32" s="11">
        <v>4</v>
      </c>
      <c r="E32" s="35"/>
      <c r="F32" s="35"/>
      <c r="G32" s="35"/>
      <c r="H32" s="35"/>
      <c r="I32" s="35"/>
      <c r="J32" s="35"/>
      <c r="K32" s="35"/>
      <c r="L32" s="37">
        <f>L31-L30</f>
        <v>44</v>
      </c>
      <c r="M32" s="37">
        <f>M31-M30</f>
        <v>44</v>
      </c>
      <c r="N32" s="35"/>
      <c r="R32" s="16">
        <f>S32-S30</f>
        <v>175</v>
      </c>
      <c r="S32" s="17">
        <v>179</v>
      </c>
      <c r="T32" s="7"/>
      <c r="Y32" s="40" t="s">
        <v>87</v>
      </c>
      <c r="Z32" s="41">
        <v>2</v>
      </c>
      <c r="AD32" s="31">
        <f>MAX(Z33,AB25)</f>
        <v>139</v>
      </c>
      <c r="AE32" s="15">
        <f>AD32+AE31</f>
        <v>141</v>
      </c>
    </row>
    <row r="33" spans="1:39" ht="12.75" customHeight="1" thickBot="1" x14ac:dyDescent="0.3">
      <c r="A33" s="3" t="s">
        <v>88</v>
      </c>
      <c r="B33" s="10" t="s">
        <v>84</v>
      </c>
      <c r="C33" s="11" t="s">
        <v>81</v>
      </c>
      <c r="D33" s="11">
        <v>4</v>
      </c>
      <c r="E33" s="35"/>
      <c r="F33" s="35"/>
      <c r="G33" s="35"/>
      <c r="H33" s="35"/>
      <c r="I33" s="35"/>
      <c r="J33" s="35"/>
      <c r="K33" s="35"/>
      <c r="L33" s="35"/>
      <c r="M33" s="35"/>
      <c r="N33" s="35"/>
      <c r="R33" s="37">
        <f t="shared" ref="R33:S33" si="11">R32-R31</f>
        <v>93</v>
      </c>
      <c r="S33" s="37">
        <f t="shared" si="11"/>
        <v>93</v>
      </c>
      <c r="T33" s="7"/>
      <c r="Y33" s="31">
        <f>MAX(V25,P43,J51)</f>
        <v>135</v>
      </c>
      <c r="Z33" s="15">
        <f>Y33+Z32</f>
        <v>137</v>
      </c>
      <c r="AD33" s="18">
        <f>AE33-AE31</f>
        <v>139</v>
      </c>
      <c r="AE33" s="19">
        <f>MIN(AE42,AI47)</f>
        <v>141</v>
      </c>
    </row>
    <row r="34" spans="1:39" ht="12.75" customHeight="1" thickBot="1" x14ac:dyDescent="0.3">
      <c r="A34" s="3" t="s">
        <v>79</v>
      </c>
      <c r="B34" s="10" t="s">
        <v>87</v>
      </c>
      <c r="C34" s="11" t="s">
        <v>123</v>
      </c>
      <c r="D34" s="11">
        <v>2</v>
      </c>
      <c r="E34" s="35"/>
      <c r="F34" s="35"/>
      <c r="G34" s="35"/>
      <c r="H34" s="35"/>
      <c r="I34" s="35"/>
      <c r="J34" s="35"/>
      <c r="K34" s="35"/>
      <c r="L34" s="35"/>
      <c r="M34" s="35"/>
      <c r="N34" s="35"/>
      <c r="R34" s="35"/>
      <c r="S34" s="35"/>
      <c r="T34" s="7"/>
      <c r="Y34" s="18">
        <f>Z34-Z32</f>
        <v>135</v>
      </c>
      <c r="Z34" s="19">
        <f>MIN(AA26,AD33,AE42)</f>
        <v>137</v>
      </c>
      <c r="AD34" s="22">
        <f>AD32-AD33</f>
        <v>0</v>
      </c>
      <c r="AE34" s="22">
        <f>AE32-AE33</f>
        <v>0</v>
      </c>
    </row>
    <row r="35" spans="1:39" ht="12.75" customHeight="1" thickBot="1" x14ac:dyDescent="0.3">
      <c r="A35" s="3" t="s">
        <v>91</v>
      </c>
      <c r="B35" s="10" t="s">
        <v>90</v>
      </c>
      <c r="C35" s="11" t="s">
        <v>124</v>
      </c>
      <c r="D35" s="11">
        <v>2</v>
      </c>
      <c r="E35" s="35"/>
      <c r="F35" s="35"/>
      <c r="G35" s="35"/>
      <c r="H35" s="35"/>
      <c r="I35" s="35"/>
      <c r="J35" s="35"/>
      <c r="K35" s="35"/>
      <c r="L35" s="38" t="s">
        <v>26</v>
      </c>
      <c r="M35" s="39">
        <v>4</v>
      </c>
      <c r="N35" s="35"/>
      <c r="O35" s="35"/>
      <c r="P35" s="35"/>
      <c r="R35" s="35"/>
      <c r="S35" s="35"/>
      <c r="T35" s="7"/>
      <c r="Y35" s="22">
        <f t="shared" ref="Y35:Z35" si="12">Y34-Y33</f>
        <v>0</v>
      </c>
      <c r="Z35" s="22">
        <f t="shared" si="12"/>
        <v>0</v>
      </c>
    </row>
    <row r="36" spans="1:39" ht="12.75" customHeight="1" thickBot="1" x14ac:dyDescent="0.3">
      <c r="A36" s="3" t="s">
        <v>94</v>
      </c>
      <c r="B36" s="10" t="s">
        <v>93</v>
      </c>
      <c r="C36" s="11" t="s">
        <v>125</v>
      </c>
      <c r="D36" s="11">
        <v>2</v>
      </c>
      <c r="E36" s="35"/>
      <c r="F36" s="35"/>
      <c r="G36" s="35"/>
      <c r="H36" s="35"/>
      <c r="I36" s="35"/>
      <c r="J36" s="35"/>
      <c r="K36" s="35"/>
      <c r="L36" s="12">
        <f>M30</f>
        <v>82</v>
      </c>
      <c r="M36" s="13">
        <f>L36+M35</f>
        <v>86</v>
      </c>
      <c r="N36" s="35"/>
      <c r="O36" s="35"/>
      <c r="P36" s="35"/>
      <c r="R36" s="38" t="s">
        <v>29</v>
      </c>
      <c r="S36" s="39">
        <v>4</v>
      </c>
      <c r="T36" s="7"/>
      <c r="AL36" s="40" t="s">
        <v>102</v>
      </c>
      <c r="AM36" s="41">
        <v>6</v>
      </c>
    </row>
    <row r="37" spans="1:39" ht="12.75" customHeight="1" thickBot="1" x14ac:dyDescent="0.3">
      <c r="A37" s="3" t="s">
        <v>82</v>
      </c>
      <c r="B37" s="10" t="s">
        <v>96</v>
      </c>
      <c r="C37" s="11" t="s">
        <v>126</v>
      </c>
      <c r="D37" s="11">
        <v>2</v>
      </c>
      <c r="E37" s="35"/>
      <c r="F37" s="35"/>
      <c r="G37" s="35"/>
      <c r="H37" s="35"/>
      <c r="I37" s="40" t="s">
        <v>50</v>
      </c>
      <c r="J37" s="41">
        <v>44</v>
      </c>
      <c r="K37" s="35"/>
      <c r="L37" s="16">
        <f>M37-M35</f>
        <v>171</v>
      </c>
      <c r="M37" s="17">
        <f>R38</f>
        <v>175</v>
      </c>
      <c r="N37" s="35"/>
      <c r="O37" s="35"/>
      <c r="P37" s="35"/>
      <c r="R37" s="12">
        <f>M36</f>
        <v>86</v>
      </c>
      <c r="S37" s="13">
        <f>R37+S36</f>
        <v>90</v>
      </c>
      <c r="AL37" s="31">
        <f>AJ46</f>
        <v>147</v>
      </c>
      <c r="AM37" s="15">
        <f>AL37+AM36</f>
        <v>153</v>
      </c>
    </row>
    <row r="38" spans="1:39" ht="12.75" customHeight="1" thickBot="1" x14ac:dyDescent="0.3">
      <c r="A38" s="3" t="s">
        <v>97</v>
      </c>
      <c r="B38" s="10" t="s">
        <v>99</v>
      </c>
      <c r="C38" s="11" t="s">
        <v>127</v>
      </c>
      <c r="D38" s="11">
        <v>6</v>
      </c>
      <c r="E38" s="35"/>
      <c r="F38" s="35"/>
      <c r="G38" s="35"/>
      <c r="H38" s="35"/>
      <c r="I38" s="14">
        <f>J19</f>
        <v>46</v>
      </c>
      <c r="J38" s="15">
        <f>I38+J37</f>
        <v>90</v>
      </c>
      <c r="K38" s="35"/>
      <c r="L38" s="37">
        <f t="shared" ref="L38:M38" si="13">L37-L36</f>
        <v>89</v>
      </c>
      <c r="M38" s="37">
        <f t="shared" si="13"/>
        <v>89</v>
      </c>
      <c r="N38" s="35"/>
      <c r="O38" s="35"/>
      <c r="P38" s="35"/>
      <c r="R38" s="16">
        <f>S38-S36</f>
        <v>175</v>
      </c>
      <c r="S38" s="17">
        <v>179</v>
      </c>
      <c r="AL38" s="18">
        <f>AM38-AM36</f>
        <v>147</v>
      </c>
      <c r="AM38" s="19">
        <f>AM37</f>
        <v>153</v>
      </c>
    </row>
    <row r="39" spans="1:39" ht="12.75" customHeight="1" thickBot="1" x14ac:dyDescent="0.3">
      <c r="A39" s="3" t="s">
        <v>100</v>
      </c>
      <c r="B39" s="10" t="s">
        <v>102</v>
      </c>
      <c r="C39" s="33" t="s">
        <v>99</v>
      </c>
      <c r="D39" s="11">
        <v>6</v>
      </c>
      <c r="E39" s="35"/>
      <c r="F39" s="35"/>
      <c r="G39" s="35"/>
      <c r="H39" s="35"/>
      <c r="I39" s="18">
        <f>J39-J37</f>
        <v>135</v>
      </c>
      <c r="J39" s="19">
        <v>179</v>
      </c>
      <c r="K39" s="35"/>
      <c r="L39" s="35"/>
      <c r="M39" s="35"/>
      <c r="N39" s="35"/>
      <c r="O39" s="35"/>
      <c r="P39" s="35"/>
      <c r="R39" s="37">
        <f t="shared" ref="R39:S39" si="14">R38-R37</f>
        <v>89</v>
      </c>
      <c r="S39" s="37">
        <f t="shared" si="14"/>
        <v>89</v>
      </c>
      <c r="AL39" s="30">
        <f t="shared" ref="AL39:AM39" si="15">AL38-AL37</f>
        <v>0</v>
      </c>
      <c r="AM39" s="30">
        <f t="shared" si="15"/>
        <v>0</v>
      </c>
    </row>
    <row r="40" spans="1:39" ht="12.75" customHeight="1" thickBot="1" x14ac:dyDescent="0.3">
      <c r="I40" s="36">
        <f t="shared" ref="I40:J40" si="16">I39-I38</f>
        <v>89</v>
      </c>
      <c r="J40" s="36">
        <f t="shared" si="16"/>
        <v>89</v>
      </c>
      <c r="AE40" s="40" t="s">
        <v>96</v>
      </c>
      <c r="AF40" s="41">
        <v>2</v>
      </c>
    </row>
    <row r="41" spans="1:39" ht="12.75" customHeight="1" thickBot="1" x14ac:dyDescent="0.3">
      <c r="A41" s="32"/>
      <c r="X41" s="40" t="s">
        <v>84</v>
      </c>
      <c r="Y41" s="41">
        <v>4</v>
      </c>
      <c r="AE41" s="31">
        <f>MAX(Z33,AE32)</f>
        <v>141</v>
      </c>
      <c r="AF41" s="15">
        <f>AE41+AF40</f>
        <v>143</v>
      </c>
    </row>
    <row r="42" spans="1:39" ht="12.75" customHeight="1" thickBot="1" x14ac:dyDescent="0.3">
      <c r="A42" s="20" t="s">
        <v>107</v>
      </c>
      <c r="B42" s="7"/>
      <c r="O42" s="40" t="s">
        <v>63</v>
      </c>
      <c r="P42" s="41">
        <v>9</v>
      </c>
      <c r="X42" s="31">
        <f>J51</f>
        <v>6</v>
      </c>
      <c r="Y42" s="15">
        <f>X42+Y41</f>
        <v>10</v>
      </c>
      <c r="AE42" s="18">
        <f>AF42-AF40</f>
        <v>151</v>
      </c>
      <c r="AF42" s="19">
        <f>AM38</f>
        <v>153</v>
      </c>
    </row>
    <row r="43" spans="1:39" ht="12.75" customHeight="1" thickBot="1" x14ac:dyDescent="0.3">
      <c r="A43" s="44" t="s">
        <v>108</v>
      </c>
      <c r="B43" s="45"/>
      <c r="O43" s="14">
        <f>M30</f>
        <v>82</v>
      </c>
      <c r="P43" s="15">
        <f>O43+P42</f>
        <v>91</v>
      </c>
      <c r="X43" s="18">
        <f>Y43-Y41</f>
        <v>175</v>
      </c>
      <c r="Y43" s="19">
        <v>179</v>
      </c>
      <c r="AE43" s="36">
        <f>AE42-AE41</f>
        <v>10</v>
      </c>
      <c r="AF43" s="36">
        <f>AF42-AF41</f>
        <v>10</v>
      </c>
    </row>
    <row r="44" spans="1:39" ht="12.75" customHeight="1" thickBot="1" x14ac:dyDescent="0.3">
      <c r="A44" s="23" t="s">
        <v>109</v>
      </c>
      <c r="B44" s="24" t="s">
        <v>110</v>
      </c>
      <c r="O44" s="18">
        <f>P44-P42</f>
        <v>126</v>
      </c>
      <c r="P44" s="19">
        <f>Y34</f>
        <v>135</v>
      </c>
      <c r="X44" s="36">
        <f t="shared" ref="X44:Y44" si="17">X43-X42</f>
        <v>169</v>
      </c>
      <c r="Y44" s="36">
        <f t="shared" si="17"/>
        <v>169</v>
      </c>
    </row>
    <row r="45" spans="1:39" ht="12.75" customHeight="1" thickBot="1" x14ac:dyDescent="0.3">
      <c r="A45" s="25" t="s">
        <v>111</v>
      </c>
      <c r="B45" s="26" t="s">
        <v>112</v>
      </c>
      <c r="O45" s="36">
        <f t="shared" ref="O45:P45" si="18">O44-O43</f>
        <v>44</v>
      </c>
      <c r="P45" s="36">
        <f t="shared" si="18"/>
        <v>44</v>
      </c>
      <c r="AI45" s="40" t="s">
        <v>99</v>
      </c>
      <c r="AJ45" s="41">
        <v>6</v>
      </c>
    </row>
    <row r="46" spans="1:39" ht="12.75" customHeight="1" x14ac:dyDescent="0.25">
      <c r="A46" s="25" t="s">
        <v>113</v>
      </c>
      <c r="B46" s="26" t="s">
        <v>114</v>
      </c>
      <c r="AI46" s="31">
        <f>MAX(AE32,J51)</f>
        <v>141</v>
      </c>
      <c r="AJ46" s="15">
        <f>AI46+AJ45</f>
        <v>147</v>
      </c>
    </row>
    <row r="47" spans="1:39" ht="12.75" customHeight="1" thickBot="1" x14ac:dyDescent="0.3">
      <c r="A47" s="27" t="s">
        <v>115</v>
      </c>
      <c r="B47" s="28" t="s">
        <v>116</v>
      </c>
      <c r="AI47" s="18">
        <f>AJ47-AJ45</f>
        <v>141</v>
      </c>
      <c r="AJ47" s="19">
        <f>AJ46</f>
        <v>147</v>
      </c>
    </row>
    <row r="48" spans="1:39" ht="12.75" customHeight="1" thickBot="1" x14ac:dyDescent="0.3">
      <c r="AI48" s="30">
        <f t="shared" ref="AI48:AJ48" si="19">AI47-AI46</f>
        <v>0</v>
      </c>
      <c r="AJ48" s="30">
        <f t="shared" si="19"/>
        <v>0</v>
      </c>
    </row>
    <row r="49" spans="9:10" ht="12.75" customHeight="1" thickBot="1" x14ac:dyDescent="0.3"/>
    <row r="50" spans="9:10" ht="12.75" customHeight="1" thickBot="1" x14ac:dyDescent="0.3">
      <c r="I50" s="40" t="s">
        <v>81</v>
      </c>
      <c r="J50" s="41">
        <v>4</v>
      </c>
    </row>
    <row r="51" spans="9:10" ht="12.75" customHeight="1" x14ac:dyDescent="0.25">
      <c r="I51" s="14">
        <f>G29</f>
        <v>2</v>
      </c>
      <c r="J51" s="15">
        <f>I51+J50</f>
        <v>6</v>
      </c>
    </row>
    <row r="52" spans="9:10" ht="12.75" customHeight="1" x14ac:dyDescent="0.25">
      <c r="I52" s="18">
        <f>J52-J50</f>
        <v>131</v>
      </c>
      <c r="J52" s="19">
        <f>MIN(X43,Y34,AI47)</f>
        <v>135</v>
      </c>
    </row>
    <row r="53" spans="9:10" ht="12.75" customHeight="1" thickBot="1" x14ac:dyDescent="0.3">
      <c r="I53" s="36">
        <f t="shared" ref="I53:J53" si="20">I52-I51</f>
        <v>129</v>
      </c>
      <c r="J53" s="36">
        <f t="shared" si="20"/>
        <v>129</v>
      </c>
    </row>
    <row r="54" spans="9:10" ht="12.75" customHeight="1" x14ac:dyDescent="0.25"/>
    <row r="55" spans="9:10" ht="12.75" customHeight="1" x14ac:dyDescent="0.25"/>
    <row r="56" spans="9:10" ht="12.75" customHeight="1" x14ac:dyDescent="0.25"/>
    <row r="57" spans="9:10" ht="12.75" customHeight="1" x14ac:dyDescent="0.25"/>
    <row r="58" spans="9:10" ht="12.75" customHeight="1" x14ac:dyDescent="0.25"/>
    <row r="59" spans="9:10" ht="12.75" customHeight="1" x14ac:dyDescent="0.25"/>
    <row r="60" spans="9:10" ht="12.75" customHeight="1" x14ac:dyDescent="0.25"/>
    <row r="61" spans="9:10" ht="12.75" customHeight="1" x14ac:dyDescent="0.25"/>
    <row r="62" spans="9:10" ht="12.75" customHeight="1" x14ac:dyDescent="0.25"/>
    <row r="63" spans="9:10" ht="12.75" customHeight="1" x14ac:dyDescent="0.25"/>
    <row r="64" spans="9:10" ht="12.75" customHeight="1" x14ac:dyDescent="0.25"/>
    <row r="65" ht="12.75" customHeight="1" x14ac:dyDescent="0.25"/>
    <row r="66" ht="12.75" customHeight="1" x14ac:dyDescent="0.25"/>
    <row r="67" ht="12.75" customHeight="1" x14ac:dyDescent="0.25"/>
    <row r="68" ht="12.75" customHeight="1" x14ac:dyDescent="0.25"/>
    <row r="69" ht="12.75" customHeight="1" x14ac:dyDescent="0.25"/>
    <row r="70" ht="12.75" customHeight="1" x14ac:dyDescent="0.25"/>
    <row r="71" ht="12.75" customHeight="1" x14ac:dyDescent="0.25"/>
    <row r="72" ht="12.75" customHeight="1" x14ac:dyDescent="0.25"/>
    <row r="73" ht="12.75" customHeight="1" x14ac:dyDescent="0.25"/>
    <row r="74" ht="12.75" customHeight="1" x14ac:dyDescent="0.25"/>
    <row r="75" ht="12.75" customHeight="1" x14ac:dyDescent="0.25"/>
    <row r="76" ht="12.75" customHeight="1" x14ac:dyDescent="0.25"/>
    <row r="77" ht="12.75" customHeight="1" x14ac:dyDescent="0.25"/>
    <row r="78" ht="12.75" customHeight="1" x14ac:dyDescent="0.25"/>
    <row r="79" ht="12.75" customHeight="1" x14ac:dyDescent="0.25"/>
    <row r="80" ht="12.75" customHeight="1" x14ac:dyDescent="0.25"/>
    <row r="81" ht="12.75" customHeight="1" x14ac:dyDescent="0.25"/>
    <row r="82" ht="12.75" customHeight="1" x14ac:dyDescent="0.25"/>
    <row r="83" ht="12.75" customHeight="1" x14ac:dyDescent="0.25"/>
    <row r="84" ht="12.75" customHeight="1" x14ac:dyDescent="0.25"/>
    <row r="85" ht="12.75" customHeight="1" x14ac:dyDescent="0.25"/>
    <row r="86" ht="12.75" customHeight="1" x14ac:dyDescent="0.25"/>
    <row r="87" ht="12.75" customHeight="1" x14ac:dyDescent="0.25"/>
    <row r="88" ht="12.75" customHeight="1" x14ac:dyDescent="0.25"/>
    <row r="89" ht="12.75" customHeight="1" x14ac:dyDescent="0.25"/>
    <row r="90" ht="12.75" customHeight="1" x14ac:dyDescent="0.25"/>
    <row r="91" ht="12.75" customHeight="1" x14ac:dyDescent="0.25"/>
    <row r="92" ht="12.75" customHeight="1" x14ac:dyDescent="0.25"/>
    <row r="93" ht="12.75" customHeight="1" x14ac:dyDescent="0.25"/>
    <row r="94" ht="12.75" customHeight="1" x14ac:dyDescent="0.25"/>
    <row r="95" ht="12.75" customHeight="1" x14ac:dyDescent="0.25"/>
    <row r="96" ht="12.75" customHeight="1" x14ac:dyDescent="0.25"/>
    <row r="97" ht="12.75" customHeight="1" x14ac:dyDescent="0.25"/>
    <row r="98" ht="12.75" customHeight="1" x14ac:dyDescent="0.25"/>
    <row r="99" ht="12.75" customHeight="1" x14ac:dyDescent="0.25"/>
    <row r="100" ht="12.75" customHeight="1" x14ac:dyDescent="0.25"/>
    <row r="101" ht="12.75" customHeight="1" x14ac:dyDescent="0.25"/>
    <row r="102" ht="12.75" customHeight="1" x14ac:dyDescent="0.25"/>
    <row r="103" ht="12.75" customHeight="1" x14ac:dyDescent="0.25"/>
    <row r="104" ht="12.75" customHeight="1" x14ac:dyDescent="0.25"/>
    <row r="105" ht="12.75" customHeight="1" x14ac:dyDescent="0.25"/>
    <row r="106" ht="12.75" customHeight="1" x14ac:dyDescent="0.25"/>
    <row r="107" ht="12.75" customHeight="1" x14ac:dyDescent="0.25"/>
    <row r="108" ht="12.75" customHeight="1" x14ac:dyDescent="0.25"/>
    <row r="109" ht="12.75" customHeight="1" x14ac:dyDescent="0.25"/>
    <row r="110" ht="12.75" customHeight="1" x14ac:dyDescent="0.25"/>
    <row r="111" ht="12.75" customHeight="1" x14ac:dyDescent="0.25"/>
    <row r="112" ht="12.75" customHeight="1" x14ac:dyDescent="0.25"/>
    <row r="113" ht="12.75" customHeight="1" x14ac:dyDescent="0.25"/>
    <row r="114" ht="12.75" customHeight="1" x14ac:dyDescent="0.25"/>
    <row r="115" ht="12.75" customHeight="1" x14ac:dyDescent="0.25"/>
    <row r="116" ht="12.75" customHeight="1" x14ac:dyDescent="0.25"/>
    <row r="117" ht="12.75" customHeight="1" x14ac:dyDescent="0.25"/>
    <row r="118" ht="12.75" customHeight="1" x14ac:dyDescent="0.25"/>
    <row r="119" ht="12.75" customHeight="1" x14ac:dyDescent="0.25"/>
    <row r="120" ht="12.75" customHeight="1" x14ac:dyDescent="0.25"/>
    <row r="121" ht="12.75" customHeight="1" x14ac:dyDescent="0.25"/>
    <row r="122" ht="12.75" customHeight="1" x14ac:dyDescent="0.25"/>
    <row r="123" ht="12.75" customHeight="1" x14ac:dyDescent="0.25"/>
    <row r="124" ht="12.75" customHeight="1" x14ac:dyDescent="0.25"/>
    <row r="125" ht="12.75" customHeight="1" x14ac:dyDescent="0.25"/>
    <row r="126" ht="12.75" customHeight="1" x14ac:dyDescent="0.25"/>
    <row r="127" ht="12.75" customHeight="1" x14ac:dyDescent="0.25"/>
    <row r="128" ht="12.75" customHeight="1" x14ac:dyDescent="0.25"/>
    <row r="129" ht="12.75" customHeight="1" x14ac:dyDescent="0.25"/>
    <row r="130" ht="12.75" customHeight="1" x14ac:dyDescent="0.25"/>
    <row r="131" ht="12.75" customHeight="1" x14ac:dyDescent="0.25"/>
    <row r="132" ht="12.75" customHeight="1" x14ac:dyDescent="0.25"/>
    <row r="133" ht="12.75" customHeight="1" x14ac:dyDescent="0.25"/>
    <row r="134" ht="12.75" customHeight="1" x14ac:dyDescent="0.25"/>
    <row r="135" ht="12.75" customHeight="1" x14ac:dyDescent="0.25"/>
    <row r="136" ht="12.75" customHeight="1" x14ac:dyDescent="0.25"/>
    <row r="137" ht="12.75" customHeight="1" x14ac:dyDescent="0.25"/>
    <row r="138" ht="12.75" customHeight="1" x14ac:dyDescent="0.25"/>
    <row r="139" ht="12.75" customHeight="1" x14ac:dyDescent="0.25"/>
    <row r="140" ht="12.75" customHeight="1" x14ac:dyDescent="0.25"/>
    <row r="141" ht="12.75" customHeight="1" x14ac:dyDescent="0.25"/>
    <row r="142" ht="12.75" customHeight="1" x14ac:dyDescent="0.25"/>
    <row r="143" ht="12.75" customHeight="1" x14ac:dyDescent="0.25"/>
    <row r="144" ht="12.75" customHeight="1" x14ac:dyDescent="0.25"/>
    <row r="145" ht="12.75" customHeight="1" x14ac:dyDescent="0.25"/>
    <row r="146" ht="12.75" customHeight="1" x14ac:dyDescent="0.25"/>
    <row r="147" ht="12.75" customHeight="1" x14ac:dyDescent="0.25"/>
    <row r="148" ht="12.75" customHeight="1" x14ac:dyDescent="0.25"/>
    <row r="149" ht="12.75" customHeight="1" x14ac:dyDescent="0.25"/>
    <row r="150" ht="12.75" customHeight="1" x14ac:dyDescent="0.25"/>
    <row r="151" ht="12.75" customHeight="1" x14ac:dyDescent="0.25"/>
    <row r="152" ht="12.75" customHeight="1" x14ac:dyDescent="0.25"/>
    <row r="153" ht="12.75" customHeight="1" x14ac:dyDescent="0.25"/>
    <row r="154" ht="12.75" customHeight="1" x14ac:dyDescent="0.25"/>
    <row r="155" ht="12.75" customHeight="1" x14ac:dyDescent="0.25"/>
    <row r="156" ht="12.75" customHeight="1" x14ac:dyDescent="0.25"/>
    <row r="157" ht="12.75" customHeight="1" x14ac:dyDescent="0.25"/>
    <row r="158" ht="12.75" customHeight="1" x14ac:dyDescent="0.25"/>
    <row r="159" ht="12.75" customHeight="1" x14ac:dyDescent="0.25"/>
    <row r="160" ht="12.75" customHeight="1" x14ac:dyDescent="0.25"/>
    <row r="161" ht="12.75" customHeight="1" x14ac:dyDescent="0.25"/>
    <row r="162" ht="12.75" customHeight="1" x14ac:dyDescent="0.25"/>
    <row r="163" ht="12.75" customHeight="1" x14ac:dyDescent="0.25"/>
    <row r="164" ht="12.75" customHeight="1" x14ac:dyDescent="0.25"/>
    <row r="165" ht="12.75" customHeight="1" x14ac:dyDescent="0.25"/>
    <row r="166" ht="12.75" customHeight="1" x14ac:dyDescent="0.25"/>
    <row r="167" ht="12.75" customHeight="1" x14ac:dyDescent="0.25"/>
    <row r="168" ht="12.75" customHeight="1" x14ac:dyDescent="0.25"/>
    <row r="169" ht="12.75" customHeight="1" x14ac:dyDescent="0.25"/>
    <row r="170" ht="12.75" customHeight="1" x14ac:dyDescent="0.25"/>
    <row r="171" ht="12.75" customHeight="1" x14ac:dyDescent="0.25"/>
    <row r="172" ht="12.75" customHeight="1" x14ac:dyDescent="0.25"/>
    <row r="173" ht="12.75" customHeight="1" x14ac:dyDescent="0.25"/>
    <row r="174" ht="12.75" customHeight="1" x14ac:dyDescent="0.25"/>
    <row r="175" ht="12.75" customHeight="1" x14ac:dyDescent="0.25"/>
    <row r="176" ht="12.75" customHeight="1" x14ac:dyDescent="0.25"/>
    <row r="177" ht="12.75" customHeight="1" x14ac:dyDescent="0.25"/>
    <row r="178" ht="12.75" customHeight="1" x14ac:dyDescent="0.25"/>
    <row r="179" ht="12.75" customHeight="1" x14ac:dyDescent="0.25"/>
    <row r="180" ht="12.75" customHeight="1" x14ac:dyDescent="0.25"/>
    <row r="181" ht="12.75" customHeight="1" x14ac:dyDescent="0.25"/>
    <row r="182" ht="12.75" customHeight="1" x14ac:dyDescent="0.25"/>
    <row r="183" ht="12.75" customHeight="1" x14ac:dyDescent="0.25"/>
    <row r="184" ht="12.75" customHeight="1" x14ac:dyDescent="0.25"/>
    <row r="185" ht="12.75" customHeight="1" x14ac:dyDescent="0.25"/>
    <row r="186" ht="12.75" customHeight="1" x14ac:dyDescent="0.25"/>
    <row r="187" ht="12.75" customHeight="1" x14ac:dyDescent="0.25"/>
    <row r="188" ht="12.75" customHeight="1" x14ac:dyDescent="0.25"/>
    <row r="189" ht="12.75" customHeight="1" x14ac:dyDescent="0.25"/>
    <row r="190" ht="12.75" customHeight="1" x14ac:dyDescent="0.25"/>
    <row r="191" ht="12.75" customHeight="1" x14ac:dyDescent="0.25"/>
    <row r="192" ht="12.75" customHeight="1" x14ac:dyDescent="0.25"/>
    <row r="193" ht="12.75" customHeight="1" x14ac:dyDescent="0.25"/>
    <row r="194" ht="12.75" customHeight="1" x14ac:dyDescent="0.25"/>
    <row r="195" ht="12.75" customHeight="1" x14ac:dyDescent="0.25"/>
    <row r="196" ht="12.75" customHeight="1" x14ac:dyDescent="0.25"/>
    <row r="197" ht="12.75" customHeight="1" x14ac:dyDescent="0.25"/>
    <row r="198" ht="12.75" customHeight="1" x14ac:dyDescent="0.25"/>
    <row r="199" ht="12.75" customHeight="1" x14ac:dyDescent="0.25"/>
    <row r="200" ht="12.75" customHeight="1" x14ac:dyDescent="0.25"/>
    <row r="201" ht="12.75" customHeight="1" x14ac:dyDescent="0.25"/>
    <row r="202" ht="12.75" customHeight="1" x14ac:dyDescent="0.25"/>
    <row r="203" ht="12.75" customHeight="1" x14ac:dyDescent="0.25"/>
    <row r="204" ht="12.75" customHeight="1" x14ac:dyDescent="0.25"/>
    <row r="205" ht="12.75" customHeight="1" x14ac:dyDescent="0.25"/>
    <row r="206" ht="12.75" customHeight="1" x14ac:dyDescent="0.25"/>
    <row r="207" ht="12.75" customHeight="1" x14ac:dyDescent="0.25"/>
    <row r="208" ht="12.75" customHeight="1" x14ac:dyDescent="0.25"/>
    <row r="209" ht="12.75" customHeight="1" x14ac:dyDescent="0.25"/>
    <row r="210" ht="12.75" customHeight="1" x14ac:dyDescent="0.25"/>
    <row r="211" ht="12.75" customHeight="1" x14ac:dyDescent="0.25"/>
    <row r="212" ht="12.75" customHeight="1" x14ac:dyDescent="0.25"/>
    <row r="213" ht="12.75" customHeight="1" x14ac:dyDescent="0.25"/>
    <row r="214" ht="12.75" customHeight="1" x14ac:dyDescent="0.25"/>
    <row r="215" ht="12.75" customHeight="1" x14ac:dyDescent="0.25"/>
    <row r="216" ht="12.75" customHeight="1" x14ac:dyDescent="0.25"/>
    <row r="217" ht="12.75" customHeight="1" x14ac:dyDescent="0.25"/>
    <row r="218" ht="12.75" customHeight="1" x14ac:dyDescent="0.25"/>
    <row r="219" ht="12.75" customHeight="1" x14ac:dyDescent="0.25"/>
    <row r="220" ht="12.75" customHeight="1" x14ac:dyDescent="0.25"/>
    <row r="221" ht="12.75" customHeight="1" x14ac:dyDescent="0.25"/>
    <row r="222" ht="12.75" customHeight="1" x14ac:dyDescent="0.25"/>
    <row r="223" ht="12.75" customHeight="1" x14ac:dyDescent="0.25"/>
    <row r="224" ht="12.75" customHeight="1" x14ac:dyDescent="0.25"/>
    <row r="225" ht="12.75" customHeight="1" x14ac:dyDescent="0.25"/>
    <row r="226" ht="12.75" customHeight="1" x14ac:dyDescent="0.25"/>
    <row r="227" ht="12.75" customHeight="1" x14ac:dyDescent="0.25"/>
    <row r="228" ht="12.75" customHeight="1" x14ac:dyDescent="0.25"/>
    <row r="229" ht="12.75" customHeight="1" x14ac:dyDescent="0.25"/>
    <row r="230" ht="12.75" customHeight="1" x14ac:dyDescent="0.25"/>
    <row r="231" ht="12.75" customHeight="1" x14ac:dyDescent="0.25"/>
    <row r="232" ht="12.75" customHeight="1" x14ac:dyDescent="0.25"/>
    <row r="233" ht="12.75" customHeight="1" x14ac:dyDescent="0.25"/>
    <row r="234" ht="12.75" customHeight="1" x14ac:dyDescent="0.25"/>
    <row r="235" ht="12.75" customHeight="1" x14ac:dyDescent="0.25"/>
    <row r="236" ht="12.75" customHeight="1" x14ac:dyDescent="0.25"/>
    <row r="237" ht="12.75" customHeight="1" x14ac:dyDescent="0.25"/>
    <row r="238" ht="12.75" customHeight="1" x14ac:dyDescent="0.25"/>
    <row r="239" ht="12.75" customHeight="1" x14ac:dyDescent="0.25"/>
    <row r="240" ht="12.75" customHeight="1" x14ac:dyDescent="0.25"/>
    <row r="241" ht="12.75" customHeight="1" x14ac:dyDescent="0.25"/>
    <row r="242" ht="12.75" customHeight="1" x14ac:dyDescent="0.25"/>
    <row r="243" ht="12.75" customHeight="1" x14ac:dyDescent="0.25"/>
    <row r="244" ht="12.75" customHeight="1" x14ac:dyDescent="0.25"/>
    <row r="245" ht="12.75" customHeight="1" x14ac:dyDescent="0.25"/>
    <row r="246" ht="12.75" customHeight="1" x14ac:dyDescent="0.25"/>
    <row r="247" ht="12.75" customHeight="1" x14ac:dyDescent="0.25"/>
    <row r="248" ht="12.75" customHeight="1" x14ac:dyDescent="0.25"/>
    <row r="249" ht="12.75" customHeight="1" x14ac:dyDescent="0.25"/>
    <row r="250" ht="12.75" customHeight="1" x14ac:dyDescent="0.25"/>
    <row r="251" ht="12.75" customHeight="1" x14ac:dyDescent="0.25"/>
    <row r="252" ht="12.75" customHeight="1" x14ac:dyDescent="0.25"/>
    <row r="253" ht="12.75" customHeight="1" x14ac:dyDescent="0.25"/>
    <row r="254" ht="12.75" customHeight="1" x14ac:dyDescent="0.25"/>
    <row r="255" ht="12.75" customHeight="1" x14ac:dyDescent="0.25"/>
    <row r="256" ht="12.75" customHeight="1" x14ac:dyDescent="0.25"/>
    <row r="257" ht="12.75" customHeight="1" x14ac:dyDescent="0.25"/>
    <row r="258" ht="12.75" customHeight="1" x14ac:dyDescent="0.25"/>
    <row r="259" ht="12.75" customHeight="1" x14ac:dyDescent="0.25"/>
    <row r="260" ht="12.75" customHeight="1" x14ac:dyDescent="0.25"/>
    <row r="261" ht="12.75" customHeight="1" x14ac:dyDescent="0.25"/>
    <row r="262" ht="12.75" customHeight="1" x14ac:dyDescent="0.25"/>
    <row r="263" ht="12.75" customHeight="1" x14ac:dyDescent="0.25"/>
    <row r="264" ht="12.75" customHeight="1" x14ac:dyDescent="0.25"/>
    <row r="265" ht="12.75" customHeight="1" x14ac:dyDescent="0.25"/>
    <row r="266" ht="12.75" customHeight="1" x14ac:dyDescent="0.25"/>
    <row r="267" ht="12.75" customHeight="1" x14ac:dyDescent="0.25"/>
    <row r="268" ht="12.75" customHeight="1" x14ac:dyDescent="0.25"/>
    <row r="269" ht="12.75" customHeight="1" x14ac:dyDescent="0.25"/>
    <row r="270" ht="12.75" customHeight="1" x14ac:dyDescent="0.25"/>
    <row r="271" ht="12.75" customHeight="1" x14ac:dyDescent="0.25"/>
    <row r="272" ht="12.75" customHeight="1" x14ac:dyDescent="0.25"/>
    <row r="273" ht="12.75" customHeight="1" x14ac:dyDescent="0.25"/>
    <row r="274" ht="12.75" customHeight="1" x14ac:dyDescent="0.25"/>
    <row r="275" ht="12.75" customHeight="1" x14ac:dyDescent="0.25"/>
    <row r="276" ht="12.75" customHeight="1" x14ac:dyDescent="0.25"/>
    <row r="277" ht="12.75" customHeight="1" x14ac:dyDescent="0.25"/>
    <row r="278" ht="12.75" customHeight="1" x14ac:dyDescent="0.25"/>
    <row r="279" ht="12.75" customHeight="1" x14ac:dyDescent="0.25"/>
    <row r="280" ht="12.75" customHeight="1" x14ac:dyDescent="0.25"/>
    <row r="281" ht="12.75" customHeight="1" x14ac:dyDescent="0.25"/>
    <row r="282" ht="12.75" customHeight="1" x14ac:dyDescent="0.25"/>
    <row r="283" ht="12.75" customHeight="1" x14ac:dyDescent="0.25"/>
    <row r="284" ht="12.75" customHeight="1" x14ac:dyDescent="0.25"/>
    <row r="285" ht="12.75" customHeight="1" x14ac:dyDescent="0.25"/>
    <row r="286" ht="12.75" customHeight="1" x14ac:dyDescent="0.25"/>
    <row r="287" ht="12.75" customHeight="1" x14ac:dyDescent="0.25"/>
    <row r="288" ht="12.75" customHeight="1" x14ac:dyDescent="0.25"/>
    <row r="289" ht="12.75" customHeight="1" x14ac:dyDescent="0.25"/>
    <row r="290" ht="12.75" customHeight="1" x14ac:dyDescent="0.25"/>
    <row r="291" ht="12.75" customHeight="1" x14ac:dyDescent="0.25"/>
    <row r="292" ht="12.75" customHeight="1" x14ac:dyDescent="0.25"/>
    <row r="293" ht="12.75" customHeight="1" x14ac:dyDescent="0.25"/>
    <row r="294" ht="12.75" customHeight="1" x14ac:dyDescent="0.25"/>
    <row r="295" ht="12.75" customHeight="1" x14ac:dyDescent="0.25"/>
    <row r="296" ht="12.75" customHeight="1" x14ac:dyDescent="0.25"/>
    <row r="297" ht="12.75" customHeight="1" x14ac:dyDescent="0.25"/>
    <row r="298" ht="12.75" customHeight="1" x14ac:dyDescent="0.25"/>
    <row r="299" ht="12.75" customHeight="1" x14ac:dyDescent="0.25"/>
    <row r="300" ht="12.75" customHeight="1" x14ac:dyDescent="0.25"/>
    <row r="301" ht="12.75" customHeight="1" x14ac:dyDescent="0.25"/>
    <row r="302" ht="12.75" customHeight="1" x14ac:dyDescent="0.25"/>
    <row r="303" ht="12.75" customHeight="1" x14ac:dyDescent="0.25"/>
    <row r="304" ht="12.75" customHeight="1" x14ac:dyDescent="0.25"/>
    <row r="305" ht="12.75" customHeight="1" x14ac:dyDescent="0.25"/>
    <row r="306" ht="12.75" customHeight="1" x14ac:dyDescent="0.25"/>
    <row r="307" ht="12.75" customHeight="1" x14ac:dyDescent="0.25"/>
    <row r="308" ht="12.75" customHeight="1" x14ac:dyDescent="0.25"/>
    <row r="309" ht="12.75" customHeight="1" x14ac:dyDescent="0.25"/>
    <row r="310" ht="12.75" customHeight="1" x14ac:dyDescent="0.25"/>
    <row r="311" ht="12.75" customHeight="1" x14ac:dyDescent="0.25"/>
    <row r="312" ht="12.75" customHeight="1" x14ac:dyDescent="0.25"/>
    <row r="313" ht="12.75" customHeight="1" x14ac:dyDescent="0.25"/>
    <row r="314" ht="12.75" customHeight="1" x14ac:dyDescent="0.25"/>
    <row r="315" ht="12.75" customHeight="1" x14ac:dyDescent="0.25"/>
    <row r="316" ht="12.75" customHeight="1" x14ac:dyDescent="0.25"/>
    <row r="317" ht="12.75" customHeight="1" x14ac:dyDescent="0.25"/>
    <row r="318" ht="12.75" customHeight="1" x14ac:dyDescent="0.25"/>
    <row r="319" ht="12.75" customHeight="1" x14ac:dyDescent="0.25"/>
    <row r="320" ht="12.75" customHeight="1" x14ac:dyDescent="0.25"/>
    <row r="321" ht="12.75" customHeight="1" x14ac:dyDescent="0.25"/>
    <row r="322" ht="12.75" customHeight="1" x14ac:dyDescent="0.25"/>
    <row r="323" ht="12.75" customHeight="1" x14ac:dyDescent="0.25"/>
    <row r="324" ht="12.75" customHeight="1" x14ac:dyDescent="0.25"/>
    <row r="325" ht="12.75" customHeight="1" x14ac:dyDescent="0.25"/>
    <row r="326" ht="12.75" customHeight="1" x14ac:dyDescent="0.25"/>
    <row r="327" ht="12.75" customHeight="1" x14ac:dyDescent="0.25"/>
    <row r="328" ht="12.75" customHeight="1" x14ac:dyDescent="0.25"/>
    <row r="329" ht="12.75" customHeight="1" x14ac:dyDescent="0.25"/>
    <row r="330" ht="12.75" customHeight="1" x14ac:dyDescent="0.25"/>
    <row r="331" ht="12.75" customHeight="1" x14ac:dyDescent="0.25"/>
    <row r="332" ht="12.75" customHeight="1" x14ac:dyDescent="0.25"/>
    <row r="333" ht="12.75" customHeight="1" x14ac:dyDescent="0.25"/>
    <row r="334" ht="12.75" customHeight="1" x14ac:dyDescent="0.25"/>
    <row r="335" ht="12.75" customHeight="1" x14ac:dyDescent="0.25"/>
    <row r="336" ht="12.75" customHeight="1" x14ac:dyDescent="0.25"/>
    <row r="337" ht="12.75" customHeight="1" x14ac:dyDescent="0.25"/>
    <row r="338" ht="12.75" customHeight="1" x14ac:dyDescent="0.25"/>
    <row r="339" ht="12.75" customHeight="1" x14ac:dyDescent="0.25"/>
    <row r="340" ht="12.75" customHeight="1" x14ac:dyDescent="0.25"/>
    <row r="341" ht="12.75" customHeight="1" x14ac:dyDescent="0.25"/>
    <row r="342" ht="12.75" customHeight="1" x14ac:dyDescent="0.25"/>
    <row r="343" ht="12.75" customHeight="1" x14ac:dyDescent="0.25"/>
    <row r="344" ht="12.75" customHeight="1" x14ac:dyDescent="0.25"/>
    <row r="345" ht="12.75" customHeight="1" x14ac:dyDescent="0.25"/>
    <row r="346" ht="12.75" customHeight="1" x14ac:dyDescent="0.25"/>
    <row r="347" ht="12.75" customHeight="1" x14ac:dyDescent="0.25"/>
    <row r="348" ht="12.75" customHeight="1" x14ac:dyDescent="0.25"/>
    <row r="349" ht="12.75" customHeight="1" x14ac:dyDescent="0.25"/>
    <row r="350" ht="12.75" customHeight="1" x14ac:dyDescent="0.25"/>
    <row r="351" ht="12.75" customHeight="1" x14ac:dyDescent="0.25"/>
    <row r="352" ht="12.75" customHeight="1" x14ac:dyDescent="0.25"/>
    <row r="353" ht="12.75" customHeight="1" x14ac:dyDescent="0.25"/>
    <row r="354" ht="12.75" customHeight="1" x14ac:dyDescent="0.25"/>
    <row r="355" ht="12.75" customHeight="1" x14ac:dyDescent="0.25"/>
    <row r="356" ht="12.75" customHeight="1" x14ac:dyDescent="0.25"/>
    <row r="357" ht="12.75" customHeight="1" x14ac:dyDescent="0.25"/>
    <row r="358" ht="12.75" customHeight="1" x14ac:dyDescent="0.25"/>
    <row r="359" ht="12.75" customHeight="1" x14ac:dyDescent="0.25"/>
    <row r="360" ht="12.75" customHeight="1" x14ac:dyDescent="0.25"/>
    <row r="361" ht="12.75" customHeight="1" x14ac:dyDescent="0.25"/>
    <row r="362" ht="12.75" customHeight="1" x14ac:dyDescent="0.25"/>
    <row r="363" ht="12.75" customHeight="1" x14ac:dyDescent="0.25"/>
    <row r="364" ht="12.75" customHeight="1" x14ac:dyDescent="0.25"/>
    <row r="365" ht="12.75" customHeight="1" x14ac:dyDescent="0.25"/>
    <row r="366" ht="12.75" customHeight="1" x14ac:dyDescent="0.25"/>
    <row r="367" ht="12.75" customHeight="1" x14ac:dyDescent="0.25"/>
    <row r="368" ht="12.75" customHeight="1" x14ac:dyDescent="0.25"/>
    <row r="369" ht="12.75" customHeight="1" x14ac:dyDescent="0.25"/>
    <row r="370" ht="12.75" customHeight="1" x14ac:dyDescent="0.25"/>
    <row r="371" ht="12.75" customHeight="1" x14ac:dyDescent="0.25"/>
    <row r="372" ht="12.75" customHeight="1" x14ac:dyDescent="0.25"/>
    <row r="373" ht="12.75" customHeight="1" x14ac:dyDescent="0.25"/>
    <row r="374" ht="12.75" customHeight="1" x14ac:dyDescent="0.25"/>
    <row r="375" ht="12.75" customHeight="1" x14ac:dyDescent="0.25"/>
    <row r="376" ht="12.75" customHeight="1" x14ac:dyDescent="0.25"/>
    <row r="377" ht="12.75" customHeight="1" x14ac:dyDescent="0.25"/>
    <row r="378" ht="12.75" customHeight="1" x14ac:dyDescent="0.25"/>
    <row r="379" ht="12.75" customHeight="1" x14ac:dyDescent="0.25"/>
    <row r="380" ht="12.75" customHeight="1" x14ac:dyDescent="0.25"/>
    <row r="381" ht="12.75" customHeight="1" x14ac:dyDescent="0.25"/>
    <row r="382" ht="12.75" customHeight="1" x14ac:dyDescent="0.25"/>
    <row r="383" ht="12.75" customHeight="1" x14ac:dyDescent="0.25"/>
    <row r="384" ht="12.75" customHeight="1" x14ac:dyDescent="0.25"/>
    <row r="385" ht="12.75" customHeight="1" x14ac:dyDescent="0.25"/>
    <row r="386" ht="12.75" customHeight="1" x14ac:dyDescent="0.25"/>
    <row r="387" ht="12.75" customHeight="1" x14ac:dyDescent="0.25"/>
    <row r="388" ht="12.75" customHeight="1" x14ac:dyDescent="0.25"/>
    <row r="389" ht="12.75" customHeight="1" x14ac:dyDescent="0.25"/>
    <row r="390" ht="12.75" customHeight="1" x14ac:dyDescent="0.25"/>
    <row r="391" ht="12.75" customHeight="1" x14ac:dyDescent="0.25"/>
    <row r="392" ht="12.75" customHeight="1" x14ac:dyDescent="0.25"/>
    <row r="393" ht="12.75" customHeight="1" x14ac:dyDescent="0.25"/>
    <row r="394" ht="12.75" customHeight="1" x14ac:dyDescent="0.25"/>
    <row r="395" ht="12.75" customHeight="1" x14ac:dyDescent="0.25"/>
    <row r="396" ht="12.75" customHeight="1" x14ac:dyDescent="0.25"/>
    <row r="397" ht="12.75" customHeight="1" x14ac:dyDescent="0.25"/>
    <row r="398" ht="12.75" customHeight="1" x14ac:dyDescent="0.25"/>
    <row r="399" ht="12.75" customHeight="1" x14ac:dyDescent="0.25"/>
    <row r="400" ht="12.75" customHeight="1" x14ac:dyDescent="0.25"/>
    <row r="401" ht="12.75" customHeight="1" x14ac:dyDescent="0.25"/>
    <row r="402" ht="12.75" customHeight="1" x14ac:dyDescent="0.25"/>
    <row r="403" ht="12.75" customHeight="1" x14ac:dyDescent="0.25"/>
    <row r="404" ht="12.75" customHeight="1" x14ac:dyDescent="0.25"/>
    <row r="405" ht="12.75" customHeight="1" x14ac:dyDescent="0.25"/>
    <row r="406" ht="12.75" customHeight="1" x14ac:dyDescent="0.25"/>
    <row r="407" ht="12.75" customHeight="1" x14ac:dyDescent="0.25"/>
    <row r="408" ht="12.75" customHeight="1" x14ac:dyDescent="0.25"/>
    <row r="409" ht="12.75" customHeight="1" x14ac:dyDescent="0.25"/>
    <row r="410" ht="12.75" customHeight="1" x14ac:dyDescent="0.25"/>
    <row r="411" ht="12.75" customHeight="1" x14ac:dyDescent="0.25"/>
    <row r="412" ht="12.75" customHeight="1" x14ac:dyDescent="0.25"/>
    <row r="413" ht="12.75" customHeight="1" x14ac:dyDescent="0.25"/>
    <row r="414" ht="12.75" customHeight="1" x14ac:dyDescent="0.25"/>
    <row r="415" ht="12.75" customHeight="1" x14ac:dyDescent="0.25"/>
    <row r="416" ht="12.75" customHeight="1" x14ac:dyDescent="0.25"/>
    <row r="417" ht="12.75" customHeight="1" x14ac:dyDescent="0.25"/>
    <row r="418" ht="12.75" customHeight="1" x14ac:dyDescent="0.25"/>
    <row r="419" ht="12.75" customHeight="1" x14ac:dyDescent="0.25"/>
    <row r="420" ht="12.75" customHeight="1" x14ac:dyDescent="0.25"/>
    <row r="421" ht="12.75" customHeight="1" x14ac:dyDescent="0.25"/>
    <row r="422" ht="12.75" customHeight="1" x14ac:dyDescent="0.25"/>
    <row r="423" ht="12.75" customHeight="1" x14ac:dyDescent="0.25"/>
    <row r="424" ht="12.75" customHeight="1" x14ac:dyDescent="0.25"/>
    <row r="425" ht="12.75" customHeight="1" x14ac:dyDescent="0.25"/>
    <row r="426" ht="12.75" customHeight="1" x14ac:dyDescent="0.25"/>
    <row r="427" ht="12.75" customHeight="1" x14ac:dyDescent="0.25"/>
    <row r="428" ht="12.75" customHeight="1" x14ac:dyDescent="0.25"/>
    <row r="429" ht="12.75" customHeight="1" x14ac:dyDescent="0.25"/>
    <row r="430" ht="12.75" customHeight="1" x14ac:dyDescent="0.25"/>
    <row r="431" ht="12.75" customHeight="1" x14ac:dyDescent="0.25"/>
    <row r="432" ht="12.75" customHeight="1" x14ac:dyDescent="0.25"/>
    <row r="433" ht="12.75" customHeight="1" x14ac:dyDescent="0.25"/>
    <row r="434" ht="12.75" customHeight="1" x14ac:dyDescent="0.25"/>
    <row r="435" ht="12.75" customHeight="1" x14ac:dyDescent="0.25"/>
    <row r="436" ht="12.75" customHeight="1" x14ac:dyDescent="0.25"/>
    <row r="437" ht="12.75" customHeight="1" x14ac:dyDescent="0.25"/>
    <row r="438" ht="12.75" customHeight="1" x14ac:dyDescent="0.25"/>
    <row r="439" ht="12.75" customHeight="1" x14ac:dyDescent="0.25"/>
    <row r="440" ht="12.75" customHeight="1" x14ac:dyDescent="0.25"/>
    <row r="441" ht="12.75" customHeight="1" x14ac:dyDescent="0.25"/>
    <row r="442" ht="12.75" customHeight="1" x14ac:dyDescent="0.25"/>
    <row r="443" ht="12.75" customHeight="1" x14ac:dyDescent="0.25"/>
    <row r="444" ht="12.75" customHeight="1" x14ac:dyDescent="0.25"/>
    <row r="445" ht="12.75" customHeight="1" x14ac:dyDescent="0.25"/>
    <row r="446" ht="12.75" customHeight="1" x14ac:dyDescent="0.25"/>
    <row r="447" ht="12.75" customHeight="1" x14ac:dyDescent="0.25"/>
    <row r="448" ht="12.75" customHeight="1" x14ac:dyDescent="0.25"/>
    <row r="449" ht="12.75" customHeight="1" x14ac:dyDescent="0.25"/>
    <row r="450" ht="12.75" customHeight="1" x14ac:dyDescent="0.25"/>
    <row r="451" ht="12.75" customHeight="1" x14ac:dyDescent="0.25"/>
    <row r="452" ht="12.75" customHeight="1" x14ac:dyDescent="0.25"/>
    <row r="453" ht="12.75" customHeight="1" x14ac:dyDescent="0.25"/>
    <row r="454" ht="12.75" customHeight="1" x14ac:dyDescent="0.25"/>
    <row r="455" ht="12.75" customHeight="1" x14ac:dyDescent="0.25"/>
    <row r="456" ht="12.75" customHeight="1" x14ac:dyDescent="0.25"/>
    <row r="457" ht="12.75" customHeight="1" x14ac:dyDescent="0.25"/>
    <row r="458" ht="12.75" customHeight="1" x14ac:dyDescent="0.25"/>
    <row r="459" ht="12.75" customHeight="1" x14ac:dyDescent="0.25"/>
    <row r="460" ht="12.75" customHeight="1" x14ac:dyDescent="0.25"/>
    <row r="461" ht="12.75" customHeight="1" x14ac:dyDescent="0.25"/>
    <row r="462" ht="12.75" customHeight="1" x14ac:dyDescent="0.25"/>
    <row r="463" ht="12.75" customHeight="1" x14ac:dyDescent="0.25"/>
    <row r="464" ht="12.75" customHeight="1" x14ac:dyDescent="0.25"/>
    <row r="465" ht="12.75" customHeight="1" x14ac:dyDescent="0.25"/>
    <row r="466" ht="12.75" customHeight="1" x14ac:dyDescent="0.25"/>
    <row r="467" ht="12.75" customHeight="1" x14ac:dyDescent="0.25"/>
    <row r="468" ht="12.75" customHeight="1" x14ac:dyDescent="0.25"/>
    <row r="469" ht="12.75" customHeight="1" x14ac:dyDescent="0.25"/>
    <row r="470" ht="12.75" customHeight="1" x14ac:dyDescent="0.25"/>
    <row r="471" ht="12.75" customHeight="1" x14ac:dyDescent="0.25"/>
    <row r="472" ht="12.75" customHeight="1" x14ac:dyDescent="0.25"/>
    <row r="473" ht="12.75" customHeight="1" x14ac:dyDescent="0.25"/>
    <row r="474" ht="12.75" customHeight="1" x14ac:dyDescent="0.25"/>
    <row r="475" ht="12.75" customHeight="1" x14ac:dyDescent="0.25"/>
    <row r="476" ht="12.75" customHeight="1" x14ac:dyDescent="0.25"/>
    <row r="477" ht="12.75" customHeight="1" x14ac:dyDescent="0.25"/>
    <row r="478" ht="12.75" customHeight="1" x14ac:dyDescent="0.25"/>
    <row r="479" ht="12.75" customHeight="1" x14ac:dyDescent="0.25"/>
    <row r="480" ht="12.75" customHeight="1" x14ac:dyDescent="0.25"/>
    <row r="481" ht="12.75" customHeight="1" x14ac:dyDescent="0.25"/>
    <row r="482" ht="12.75" customHeight="1" x14ac:dyDescent="0.25"/>
    <row r="483" ht="12.75" customHeight="1" x14ac:dyDescent="0.25"/>
    <row r="484" ht="12.75" customHeight="1" x14ac:dyDescent="0.25"/>
    <row r="485" ht="12.75" customHeight="1" x14ac:dyDescent="0.25"/>
    <row r="486" ht="12.75" customHeight="1" x14ac:dyDescent="0.25"/>
    <row r="487" ht="12.75" customHeight="1" x14ac:dyDescent="0.25"/>
    <row r="488" ht="12.75" customHeight="1" x14ac:dyDescent="0.25"/>
    <row r="489" ht="12.75" customHeight="1" x14ac:dyDescent="0.25"/>
    <row r="490" ht="12.75" customHeight="1" x14ac:dyDescent="0.25"/>
    <row r="491" ht="12.75" customHeight="1" x14ac:dyDescent="0.25"/>
    <row r="492" ht="12.75" customHeight="1" x14ac:dyDescent="0.25"/>
    <row r="493" ht="12.75" customHeight="1" x14ac:dyDescent="0.25"/>
    <row r="494" ht="12.75" customHeight="1" x14ac:dyDescent="0.25"/>
    <row r="495" ht="12.75" customHeight="1" x14ac:dyDescent="0.25"/>
    <row r="496" ht="12.75" customHeight="1" x14ac:dyDescent="0.25"/>
    <row r="497" ht="12.75" customHeight="1" x14ac:dyDescent="0.25"/>
    <row r="498" ht="12.75" customHeight="1" x14ac:dyDescent="0.25"/>
    <row r="499" ht="12.75" customHeight="1" x14ac:dyDescent="0.25"/>
    <row r="500" ht="12.75" customHeight="1" x14ac:dyDescent="0.25"/>
    <row r="501" ht="12.75" customHeight="1" x14ac:dyDescent="0.25"/>
    <row r="502" ht="12.75" customHeight="1" x14ac:dyDescent="0.25"/>
    <row r="503" ht="12.75" customHeight="1" x14ac:dyDescent="0.25"/>
    <row r="504" ht="12.75" customHeight="1" x14ac:dyDescent="0.25"/>
    <row r="505" ht="12.75" customHeight="1" x14ac:dyDescent="0.25"/>
    <row r="506" ht="12.75" customHeight="1" x14ac:dyDescent="0.25"/>
    <row r="507" ht="12.75" customHeight="1" x14ac:dyDescent="0.25"/>
    <row r="508" ht="12.75" customHeight="1" x14ac:dyDescent="0.25"/>
    <row r="509" ht="12.75" customHeight="1" x14ac:dyDescent="0.25"/>
    <row r="510" ht="12.75" customHeight="1" x14ac:dyDescent="0.25"/>
    <row r="511" ht="12.75" customHeight="1" x14ac:dyDescent="0.25"/>
    <row r="512" ht="12.75" customHeight="1" x14ac:dyDescent="0.25"/>
    <row r="513" ht="12.75" customHeight="1" x14ac:dyDescent="0.25"/>
    <row r="514" ht="12.75" customHeight="1" x14ac:dyDescent="0.25"/>
    <row r="515" ht="12.75" customHeight="1" x14ac:dyDescent="0.25"/>
    <row r="516" ht="12.75" customHeight="1" x14ac:dyDescent="0.25"/>
    <row r="517" ht="12.75" customHeight="1" x14ac:dyDescent="0.25"/>
    <row r="518" ht="12.75" customHeight="1" x14ac:dyDescent="0.25"/>
    <row r="519" ht="12.75" customHeight="1" x14ac:dyDescent="0.25"/>
    <row r="520" ht="12.75" customHeight="1" x14ac:dyDescent="0.25"/>
    <row r="521" ht="12.75" customHeight="1" x14ac:dyDescent="0.25"/>
    <row r="522" ht="12.75" customHeight="1" x14ac:dyDescent="0.25"/>
    <row r="523" ht="12.75" customHeight="1" x14ac:dyDescent="0.25"/>
    <row r="524" ht="12.75" customHeight="1" x14ac:dyDescent="0.25"/>
    <row r="525" ht="12.75" customHeight="1" x14ac:dyDescent="0.25"/>
    <row r="526" ht="12.75" customHeight="1" x14ac:dyDescent="0.25"/>
    <row r="527" ht="12.75" customHeight="1" x14ac:dyDescent="0.25"/>
    <row r="528" ht="12.75" customHeight="1" x14ac:dyDescent="0.25"/>
    <row r="529" ht="12.75" customHeight="1" x14ac:dyDescent="0.25"/>
    <row r="530" ht="12.75" customHeight="1" x14ac:dyDescent="0.25"/>
    <row r="531" ht="12.75" customHeight="1" x14ac:dyDescent="0.25"/>
    <row r="532" ht="12.75" customHeight="1" x14ac:dyDescent="0.25"/>
    <row r="533" ht="12.75" customHeight="1" x14ac:dyDescent="0.25"/>
    <row r="534" ht="12.75" customHeight="1" x14ac:dyDescent="0.25"/>
    <row r="535" ht="12.75" customHeight="1" x14ac:dyDescent="0.25"/>
    <row r="536" ht="12.75" customHeight="1" x14ac:dyDescent="0.25"/>
    <row r="537" ht="12.75" customHeight="1" x14ac:dyDescent="0.25"/>
    <row r="538" ht="12.75" customHeight="1" x14ac:dyDescent="0.25"/>
    <row r="539" ht="12.75" customHeight="1" x14ac:dyDescent="0.25"/>
    <row r="540" ht="12.75" customHeight="1" x14ac:dyDescent="0.25"/>
    <row r="541" ht="12.75" customHeight="1" x14ac:dyDescent="0.25"/>
    <row r="542" ht="12.75" customHeight="1" x14ac:dyDescent="0.25"/>
    <row r="543" ht="12.75" customHeight="1" x14ac:dyDescent="0.25"/>
    <row r="544" ht="12.75" customHeight="1" x14ac:dyDescent="0.25"/>
    <row r="545" ht="12.75" customHeight="1" x14ac:dyDescent="0.25"/>
    <row r="546" ht="12.75" customHeight="1" x14ac:dyDescent="0.25"/>
    <row r="547" ht="12.75" customHeight="1" x14ac:dyDescent="0.25"/>
    <row r="548" ht="12.75" customHeight="1" x14ac:dyDescent="0.25"/>
    <row r="549" ht="12.75" customHeight="1" x14ac:dyDescent="0.25"/>
    <row r="550" ht="12.75" customHeight="1" x14ac:dyDescent="0.25"/>
    <row r="551" ht="12.75" customHeight="1" x14ac:dyDescent="0.25"/>
    <row r="552" ht="12.75" customHeight="1" x14ac:dyDescent="0.25"/>
    <row r="553" ht="12.75" customHeight="1" x14ac:dyDescent="0.25"/>
    <row r="554" ht="12.75" customHeight="1" x14ac:dyDescent="0.25"/>
    <row r="555" ht="12.75" customHeight="1" x14ac:dyDescent="0.25"/>
    <row r="556" ht="12.75" customHeight="1" x14ac:dyDescent="0.25"/>
    <row r="557" ht="12.75" customHeight="1" x14ac:dyDescent="0.25"/>
    <row r="558" ht="12.75" customHeight="1" x14ac:dyDescent="0.25"/>
    <row r="559" ht="12.75" customHeight="1" x14ac:dyDescent="0.25"/>
    <row r="560" ht="12.75" customHeight="1" x14ac:dyDescent="0.25"/>
    <row r="561" ht="12.75" customHeight="1" x14ac:dyDescent="0.25"/>
    <row r="562" ht="12.75" customHeight="1" x14ac:dyDescent="0.25"/>
    <row r="563" ht="12.75" customHeight="1" x14ac:dyDescent="0.25"/>
    <row r="564" ht="12.75" customHeight="1" x14ac:dyDescent="0.25"/>
    <row r="565" ht="12.75" customHeight="1" x14ac:dyDescent="0.25"/>
    <row r="566" ht="12.75" customHeight="1" x14ac:dyDescent="0.25"/>
    <row r="567" ht="12.75" customHeight="1" x14ac:dyDescent="0.25"/>
    <row r="568" ht="12.75" customHeight="1" x14ac:dyDescent="0.25"/>
    <row r="569" ht="12.75" customHeight="1" x14ac:dyDescent="0.25"/>
    <row r="570" ht="12.75" customHeight="1" x14ac:dyDescent="0.25"/>
    <row r="571" ht="12.75" customHeight="1" x14ac:dyDescent="0.25"/>
    <row r="572" ht="12.75" customHeight="1" x14ac:dyDescent="0.25"/>
    <row r="573" ht="12.75" customHeight="1" x14ac:dyDescent="0.25"/>
    <row r="574" ht="12.75" customHeight="1" x14ac:dyDescent="0.25"/>
    <row r="575" ht="12.75" customHeight="1" x14ac:dyDescent="0.25"/>
    <row r="576" ht="12.75" customHeight="1" x14ac:dyDescent="0.25"/>
    <row r="577" ht="12.75" customHeight="1" x14ac:dyDescent="0.25"/>
    <row r="578" ht="12.75" customHeight="1" x14ac:dyDescent="0.25"/>
    <row r="579" ht="12.75" customHeight="1" x14ac:dyDescent="0.25"/>
    <row r="580" ht="12.75" customHeight="1" x14ac:dyDescent="0.25"/>
    <row r="581" ht="12.75" customHeight="1" x14ac:dyDescent="0.25"/>
    <row r="582" ht="12.75" customHeight="1" x14ac:dyDescent="0.25"/>
    <row r="583" ht="12.75" customHeight="1" x14ac:dyDescent="0.25"/>
    <row r="584" ht="12.75" customHeight="1" x14ac:dyDescent="0.25"/>
    <row r="585" ht="12.75" customHeight="1" x14ac:dyDescent="0.25"/>
    <row r="586" ht="12.75" customHeight="1" x14ac:dyDescent="0.25"/>
    <row r="587" ht="12.75" customHeight="1" x14ac:dyDescent="0.25"/>
    <row r="588" ht="12.75" customHeight="1" x14ac:dyDescent="0.25"/>
    <row r="589" ht="12.75" customHeight="1" x14ac:dyDescent="0.25"/>
    <row r="590" ht="12.75" customHeight="1" x14ac:dyDescent="0.25"/>
    <row r="591" ht="12.75" customHeight="1" x14ac:dyDescent="0.25"/>
    <row r="592" ht="12.75" customHeight="1" x14ac:dyDescent="0.25"/>
    <row r="593" ht="12.75" customHeight="1" x14ac:dyDescent="0.25"/>
    <row r="594" ht="12.75" customHeight="1" x14ac:dyDescent="0.25"/>
    <row r="595" ht="12.75" customHeight="1" x14ac:dyDescent="0.25"/>
    <row r="596" ht="12.75" customHeight="1" x14ac:dyDescent="0.25"/>
    <row r="597" ht="12.75" customHeight="1" x14ac:dyDescent="0.25"/>
    <row r="598" ht="12.75" customHeight="1" x14ac:dyDescent="0.25"/>
    <row r="599" ht="12.75" customHeight="1" x14ac:dyDescent="0.25"/>
    <row r="600" ht="12.75" customHeight="1" x14ac:dyDescent="0.25"/>
    <row r="601" ht="12.75" customHeight="1" x14ac:dyDescent="0.25"/>
    <row r="602" ht="12.75" customHeight="1" x14ac:dyDescent="0.25"/>
    <row r="603" ht="12.75" customHeight="1" x14ac:dyDescent="0.25"/>
    <row r="604" ht="12.75" customHeight="1" x14ac:dyDescent="0.25"/>
    <row r="605" ht="12.75" customHeight="1" x14ac:dyDescent="0.25"/>
    <row r="606" ht="12.75" customHeight="1" x14ac:dyDescent="0.25"/>
    <row r="607" ht="12.75" customHeight="1" x14ac:dyDescent="0.25"/>
    <row r="608" ht="12.75" customHeight="1" x14ac:dyDescent="0.25"/>
    <row r="609" ht="12.75" customHeight="1" x14ac:dyDescent="0.25"/>
    <row r="610" ht="12.75" customHeight="1" x14ac:dyDescent="0.25"/>
    <row r="611" ht="12.75" customHeight="1" x14ac:dyDescent="0.25"/>
    <row r="612" ht="12.75" customHeight="1" x14ac:dyDescent="0.25"/>
    <row r="613" ht="12.75" customHeight="1" x14ac:dyDescent="0.25"/>
    <row r="614" ht="12.75" customHeight="1" x14ac:dyDescent="0.25"/>
    <row r="615" ht="12.75" customHeight="1" x14ac:dyDescent="0.25"/>
    <row r="616" ht="12.75" customHeight="1" x14ac:dyDescent="0.25"/>
    <row r="617" ht="12.75" customHeight="1" x14ac:dyDescent="0.25"/>
    <row r="618" ht="12.75" customHeight="1" x14ac:dyDescent="0.25"/>
    <row r="619" ht="12.75" customHeight="1" x14ac:dyDescent="0.25"/>
    <row r="620" ht="12.75" customHeight="1" x14ac:dyDescent="0.25"/>
    <row r="621" ht="12.75" customHeight="1" x14ac:dyDescent="0.25"/>
    <row r="622" ht="12.75" customHeight="1" x14ac:dyDescent="0.25"/>
    <row r="623" ht="12.75" customHeight="1" x14ac:dyDescent="0.25"/>
    <row r="624" ht="12.75" customHeight="1" x14ac:dyDescent="0.25"/>
    <row r="625" ht="12.75" customHeight="1" x14ac:dyDescent="0.25"/>
    <row r="626" ht="12.75" customHeight="1" x14ac:dyDescent="0.25"/>
    <row r="627" ht="12.75" customHeight="1" x14ac:dyDescent="0.25"/>
    <row r="628" ht="12.75" customHeight="1" x14ac:dyDescent="0.25"/>
    <row r="629" ht="12.75" customHeight="1" x14ac:dyDescent="0.25"/>
    <row r="630" ht="12.75" customHeight="1" x14ac:dyDescent="0.25"/>
    <row r="631" ht="12.75" customHeight="1" x14ac:dyDescent="0.25"/>
    <row r="632" ht="12.75" customHeight="1" x14ac:dyDescent="0.25"/>
    <row r="633" ht="12.75" customHeight="1" x14ac:dyDescent="0.25"/>
    <row r="634" ht="12.75" customHeight="1" x14ac:dyDescent="0.25"/>
    <row r="635" ht="12.75" customHeight="1" x14ac:dyDescent="0.25"/>
    <row r="636" ht="12.75" customHeight="1" x14ac:dyDescent="0.25"/>
    <row r="637" ht="12.75" customHeight="1" x14ac:dyDescent="0.25"/>
    <row r="638" ht="12.75" customHeight="1" x14ac:dyDescent="0.25"/>
    <row r="639" ht="12.75" customHeight="1" x14ac:dyDescent="0.25"/>
    <row r="640" ht="12.75" customHeight="1" x14ac:dyDescent="0.25"/>
    <row r="641" ht="12.75" customHeight="1" x14ac:dyDescent="0.25"/>
    <row r="642" ht="12.75" customHeight="1" x14ac:dyDescent="0.25"/>
    <row r="643" ht="12.75" customHeight="1" x14ac:dyDescent="0.25"/>
    <row r="644" ht="12.75" customHeight="1" x14ac:dyDescent="0.25"/>
    <row r="645" ht="12.75" customHeight="1" x14ac:dyDescent="0.25"/>
    <row r="646" ht="12.75" customHeight="1" x14ac:dyDescent="0.25"/>
    <row r="647" ht="12.75" customHeight="1" x14ac:dyDescent="0.25"/>
    <row r="648" ht="12.75" customHeight="1" x14ac:dyDescent="0.25"/>
    <row r="649" ht="12.75" customHeight="1" x14ac:dyDescent="0.25"/>
    <row r="650" ht="12.75" customHeight="1" x14ac:dyDescent="0.25"/>
    <row r="651" ht="12.75" customHeight="1" x14ac:dyDescent="0.25"/>
    <row r="652" ht="12.75" customHeight="1" x14ac:dyDescent="0.25"/>
    <row r="653" ht="12.75" customHeight="1" x14ac:dyDescent="0.25"/>
    <row r="654" ht="12.75" customHeight="1" x14ac:dyDescent="0.25"/>
    <row r="655" ht="12.75" customHeight="1" x14ac:dyDescent="0.25"/>
    <row r="656" ht="12.75" customHeight="1" x14ac:dyDescent="0.25"/>
    <row r="657" ht="12.75" customHeight="1" x14ac:dyDescent="0.25"/>
    <row r="658" ht="12.75" customHeight="1" x14ac:dyDescent="0.25"/>
    <row r="659" ht="12.75" customHeight="1" x14ac:dyDescent="0.25"/>
    <row r="660" ht="12.75" customHeight="1" x14ac:dyDescent="0.25"/>
    <row r="661" ht="12.75" customHeight="1" x14ac:dyDescent="0.25"/>
    <row r="662" ht="12.75" customHeight="1" x14ac:dyDescent="0.25"/>
    <row r="663" ht="12.75" customHeight="1" x14ac:dyDescent="0.25"/>
    <row r="664" ht="12.75" customHeight="1" x14ac:dyDescent="0.25"/>
    <row r="665" ht="12.75" customHeight="1" x14ac:dyDescent="0.25"/>
    <row r="666" ht="12.75" customHeight="1" x14ac:dyDescent="0.25"/>
    <row r="667" ht="12.75" customHeight="1" x14ac:dyDescent="0.25"/>
    <row r="668" ht="12.75" customHeight="1" x14ac:dyDescent="0.25"/>
    <row r="669" ht="12.75" customHeight="1" x14ac:dyDescent="0.25"/>
    <row r="670" ht="12.75" customHeight="1" x14ac:dyDescent="0.25"/>
    <row r="671" ht="12.75" customHeight="1" x14ac:dyDescent="0.25"/>
    <row r="672" ht="12.75" customHeight="1" x14ac:dyDescent="0.25"/>
    <row r="673" ht="12.75" customHeight="1" x14ac:dyDescent="0.25"/>
    <row r="674" ht="12.75" customHeight="1" x14ac:dyDescent="0.25"/>
    <row r="675" ht="12.75" customHeight="1" x14ac:dyDescent="0.25"/>
    <row r="676" ht="12.75" customHeight="1" x14ac:dyDescent="0.25"/>
    <row r="677" ht="12.75" customHeight="1" x14ac:dyDescent="0.25"/>
    <row r="678" ht="12.75" customHeight="1" x14ac:dyDescent="0.25"/>
    <row r="679" ht="12.75" customHeight="1" x14ac:dyDescent="0.25"/>
    <row r="680" ht="12.75" customHeight="1" x14ac:dyDescent="0.25"/>
    <row r="681" ht="12.75" customHeight="1" x14ac:dyDescent="0.25"/>
    <row r="682" ht="12.75" customHeight="1" x14ac:dyDescent="0.25"/>
    <row r="683" ht="12.75" customHeight="1" x14ac:dyDescent="0.25"/>
    <row r="684" ht="12.75" customHeight="1" x14ac:dyDescent="0.25"/>
    <row r="685" ht="12.75" customHeight="1" x14ac:dyDescent="0.25"/>
    <row r="686" ht="12.75" customHeight="1" x14ac:dyDescent="0.25"/>
    <row r="687" ht="12.75" customHeight="1" x14ac:dyDescent="0.25"/>
    <row r="688" ht="12.75" customHeight="1" x14ac:dyDescent="0.25"/>
    <row r="689" ht="12.75" customHeight="1" x14ac:dyDescent="0.25"/>
    <row r="690" ht="12.75" customHeight="1" x14ac:dyDescent="0.25"/>
    <row r="691" ht="12.75" customHeight="1" x14ac:dyDescent="0.25"/>
    <row r="692" ht="12.75" customHeight="1" x14ac:dyDescent="0.25"/>
    <row r="693" ht="12.75" customHeight="1" x14ac:dyDescent="0.25"/>
    <row r="694" ht="12.75" customHeight="1" x14ac:dyDescent="0.25"/>
    <row r="695" ht="12.75" customHeight="1" x14ac:dyDescent="0.25"/>
    <row r="696" ht="12.75" customHeight="1" x14ac:dyDescent="0.25"/>
    <row r="697" ht="12.75" customHeight="1" x14ac:dyDescent="0.25"/>
    <row r="698" ht="12.75" customHeight="1" x14ac:dyDescent="0.25"/>
    <row r="699" ht="12.75" customHeight="1" x14ac:dyDescent="0.25"/>
    <row r="700" ht="12.75" customHeight="1" x14ac:dyDescent="0.25"/>
    <row r="701" ht="12.75" customHeight="1" x14ac:dyDescent="0.25"/>
    <row r="702" ht="12.75" customHeight="1" x14ac:dyDescent="0.25"/>
    <row r="703" ht="12.75" customHeight="1" x14ac:dyDescent="0.25"/>
    <row r="704" ht="12.75" customHeight="1" x14ac:dyDescent="0.25"/>
    <row r="705" ht="12.75" customHeight="1" x14ac:dyDescent="0.25"/>
    <row r="706" ht="12.75" customHeight="1" x14ac:dyDescent="0.25"/>
    <row r="707" ht="12.75" customHeight="1" x14ac:dyDescent="0.25"/>
    <row r="708" ht="12.75" customHeight="1" x14ac:dyDescent="0.25"/>
    <row r="709" ht="12.75" customHeight="1" x14ac:dyDescent="0.25"/>
    <row r="710" ht="12.75" customHeight="1" x14ac:dyDescent="0.25"/>
    <row r="711" ht="12.75" customHeight="1" x14ac:dyDescent="0.25"/>
    <row r="712" ht="12.75" customHeight="1" x14ac:dyDescent="0.25"/>
    <row r="713" ht="12.75" customHeight="1" x14ac:dyDescent="0.25"/>
    <row r="714" ht="12.75" customHeight="1" x14ac:dyDescent="0.25"/>
    <row r="715" ht="12.75" customHeight="1" x14ac:dyDescent="0.25"/>
    <row r="716" ht="12.75" customHeight="1" x14ac:dyDescent="0.25"/>
    <row r="717" ht="12.75" customHeight="1" x14ac:dyDescent="0.25"/>
    <row r="718" ht="12.75" customHeight="1" x14ac:dyDescent="0.25"/>
    <row r="719" ht="12.75" customHeight="1" x14ac:dyDescent="0.25"/>
    <row r="720" ht="12.75" customHeight="1" x14ac:dyDescent="0.25"/>
    <row r="721" ht="12.75" customHeight="1" x14ac:dyDescent="0.25"/>
    <row r="722" ht="12.75" customHeight="1" x14ac:dyDescent="0.25"/>
    <row r="723" ht="12.75" customHeight="1" x14ac:dyDescent="0.25"/>
    <row r="724" ht="12.75" customHeight="1" x14ac:dyDescent="0.25"/>
    <row r="725" ht="12.75" customHeight="1" x14ac:dyDescent="0.25"/>
    <row r="726" ht="12.75" customHeight="1" x14ac:dyDescent="0.25"/>
    <row r="727" ht="12.75" customHeight="1" x14ac:dyDescent="0.25"/>
    <row r="728" ht="12.75" customHeight="1" x14ac:dyDescent="0.25"/>
    <row r="729" ht="12.75" customHeight="1" x14ac:dyDescent="0.25"/>
    <row r="730" ht="12.75" customHeight="1" x14ac:dyDescent="0.25"/>
    <row r="731" ht="12.75" customHeight="1" x14ac:dyDescent="0.25"/>
    <row r="732" ht="12.75" customHeight="1" x14ac:dyDescent="0.25"/>
    <row r="733" ht="12.75" customHeight="1" x14ac:dyDescent="0.25"/>
    <row r="734" ht="12.75" customHeight="1" x14ac:dyDescent="0.25"/>
    <row r="735" ht="12.75" customHeight="1" x14ac:dyDescent="0.25"/>
    <row r="736" ht="12.75" customHeight="1" x14ac:dyDescent="0.25"/>
    <row r="737" ht="12.75" customHeight="1" x14ac:dyDescent="0.25"/>
    <row r="738" ht="12.75" customHeight="1" x14ac:dyDescent="0.25"/>
    <row r="739" ht="12.75" customHeight="1" x14ac:dyDescent="0.25"/>
    <row r="740" ht="12.75" customHeight="1" x14ac:dyDescent="0.25"/>
    <row r="741" ht="12.75" customHeight="1" x14ac:dyDescent="0.25"/>
    <row r="742" ht="12.75" customHeight="1" x14ac:dyDescent="0.25"/>
    <row r="743" ht="12.75" customHeight="1" x14ac:dyDescent="0.25"/>
    <row r="744" ht="12.75" customHeight="1" x14ac:dyDescent="0.25"/>
    <row r="745" ht="12.75" customHeight="1" x14ac:dyDescent="0.25"/>
    <row r="746" ht="12.75" customHeight="1" x14ac:dyDescent="0.25"/>
    <row r="747" ht="12.75" customHeight="1" x14ac:dyDescent="0.25"/>
    <row r="748" ht="12.75" customHeight="1" x14ac:dyDescent="0.25"/>
    <row r="749" ht="12.75" customHeight="1" x14ac:dyDescent="0.25"/>
    <row r="750" ht="12.75" customHeight="1" x14ac:dyDescent="0.25"/>
    <row r="751" ht="12.75" customHeight="1" x14ac:dyDescent="0.25"/>
    <row r="752" ht="12.75" customHeight="1" x14ac:dyDescent="0.25"/>
    <row r="753" ht="12.75" customHeight="1" x14ac:dyDescent="0.25"/>
    <row r="754" ht="12.75" customHeight="1" x14ac:dyDescent="0.25"/>
    <row r="755" ht="12.75" customHeight="1" x14ac:dyDescent="0.25"/>
    <row r="756" ht="12.75" customHeight="1" x14ac:dyDescent="0.25"/>
    <row r="757" ht="12.75" customHeight="1" x14ac:dyDescent="0.25"/>
    <row r="758" ht="12.75" customHeight="1" x14ac:dyDescent="0.25"/>
    <row r="759" ht="12.75" customHeight="1" x14ac:dyDescent="0.25"/>
    <row r="760" ht="12.75" customHeight="1" x14ac:dyDescent="0.25"/>
    <row r="761" ht="12.75" customHeight="1" x14ac:dyDescent="0.25"/>
    <row r="762" ht="12.75" customHeight="1" x14ac:dyDescent="0.25"/>
    <row r="763" ht="12.75" customHeight="1" x14ac:dyDescent="0.25"/>
    <row r="764" ht="12.75" customHeight="1" x14ac:dyDescent="0.25"/>
    <row r="765" ht="12.75" customHeight="1" x14ac:dyDescent="0.25"/>
    <row r="766" ht="12.75" customHeight="1" x14ac:dyDescent="0.25"/>
    <row r="767" ht="12.75" customHeight="1" x14ac:dyDescent="0.25"/>
    <row r="768" ht="12.75" customHeight="1" x14ac:dyDescent="0.25"/>
    <row r="769" ht="12.75" customHeight="1" x14ac:dyDescent="0.25"/>
    <row r="770" ht="12.75" customHeight="1" x14ac:dyDescent="0.25"/>
    <row r="771" ht="12.75" customHeight="1" x14ac:dyDescent="0.25"/>
    <row r="772" ht="12.75" customHeight="1" x14ac:dyDescent="0.25"/>
    <row r="773" ht="12.75" customHeight="1" x14ac:dyDescent="0.25"/>
    <row r="774" ht="12.75" customHeight="1" x14ac:dyDescent="0.25"/>
    <row r="775" ht="12.75" customHeight="1" x14ac:dyDescent="0.25"/>
    <row r="776" ht="12.75" customHeight="1" x14ac:dyDescent="0.25"/>
    <row r="777" ht="12.75" customHeight="1" x14ac:dyDescent="0.25"/>
    <row r="778" ht="12.75" customHeight="1" x14ac:dyDescent="0.25"/>
    <row r="779" ht="12.75" customHeight="1" x14ac:dyDescent="0.25"/>
    <row r="780" ht="12.75" customHeight="1" x14ac:dyDescent="0.25"/>
    <row r="781" ht="12.75" customHeight="1" x14ac:dyDescent="0.25"/>
    <row r="782" ht="12.75" customHeight="1" x14ac:dyDescent="0.25"/>
    <row r="783" ht="12.75" customHeight="1" x14ac:dyDescent="0.25"/>
    <row r="784" ht="12.75" customHeight="1" x14ac:dyDescent="0.25"/>
    <row r="785" ht="12.75" customHeight="1" x14ac:dyDescent="0.25"/>
    <row r="786" ht="12.75" customHeight="1" x14ac:dyDescent="0.25"/>
    <row r="787" ht="12.75" customHeight="1" x14ac:dyDescent="0.25"/>
    <row r="788" ht="12.75" customHeight="1" x14ac:dyDescent="0.25"/>
    <row r="789" ht="12.75" customHeight="1" x14ac:dyDescent="0.25"/>
    <row r="790" ht="12.75" customHeight="1" x14ac:dyDescent="0.25"/>
    <row r="791" ht="12.75" customHeight="1" x14ac:dyDescent="0.25"/>
    <row r="792" ht="12.75" customHeight="1" x14ac:dyDescent="0.25"/>
    <row r="793" ht="12.75" customHeight="1" x14ac:dyDescent="0.25"/>
    <row r="794" ht="12.75" customHeight="1" x14ac:dyDescent="0.25"/>
    <row r="795" ht="12.75" customHeight="1" x14ac:dyDescent="0.25"/>
    <row r="796" ht="12.75" customHeight="1" x14ac:dyDescent="0.25"/>
    <row r="797" ht="12.75" customHeight="1" x14ac:dyDescent="0.25"/>
    <row r="798" ht="12.75" customHeight="1" x14ac:dyDescent="0.25"/>
    <row r="799" ht="12.75" customHeight="1" x14ac:dyDescent="0.25"/>
    <row r="800" ht="12.75" customHeight="1" x14ac:dyDescent="0.25"/>
    <row r="801" ht="12.75" customHeight="1" x14ac:dyDescent="0.25"/>
    <row r="802" ht="12.75" customHeight="1" x14ac:dyDescent="0.25"/>
    <row r="803" ht="12.75" customHeight="1" x14ac:dyDescent="0.25"/>
    <row r="804" ht="12.75" customHeight="1" x14ac:dyDescent="0.25"/>
    <row r="805" ht="12.75" customHeight="1" x14ac:dyDescent="0.25"/>
    <row r="806" ht="12.75" customHeight="1" x14ac:dyDescent="0.25"/>
    <row r="807" ht="12.75" customHeight="1" x14ac:dyDescent="0.25"/>
    <row r="808" ht="12.75" customHeight="1" x14ac:dyDescent="0.25"/>
    <row r="809" ht="12.75" customHeight="1" x14ac:dyDescent="0.25"/>
    <row r="810" ht="12.75" customHeight="1" x14ac:dyDescent="0.25"/>
    <row r="811" ht="12.75" customHeight="1" x14ac:dyDescent="0.25"/>
    <row r="812" ht="12.75" customHeight="1" x14ac:dyDescent="0.25"/>
    <row r="813" ht="12.75" customHeight="1" x14ac:dyDescent="0.25"/>
    <row r="814" ht="12.75" customHeight="1" x14ac:dyDescent="0.25"/>
    <row r="815" ht="12.75" customHeight="1" x14ac:dyDescent="0.25"/>
    <row r="816" ht="12.75" customHeight="1" x14ac:dyDescent="0.25"/>
    <row r="817" ht="12.75" customHeight="1" x14ac:dyDescent="0.25"/>
    <row r="818" ht="12.75" customHeight="1" x14ac:dyDescent="0.25"/>
    <row r="819" ht="12.75" customHeight="1" x14ac:dyDescent="0.25"/>
    <row r="820" ht="12.75" customHeight="1" x14ac:dyDescent="0.25"/>
    <row r="821" ht="12.75" customHeight="1" x14ac:dyDescent="0.25"/>
    <row r="822" ht="12.75" customHeight="1" x14ac:dyDescent="0.25"/>
    <row r="823" ht="12.75" customHeight="1" x14ac:dyDescent="0.25"/>
    <row r="824" ht="12.75" customHeight="1" x14ac:dyDescent="0.25"/>
    <row r="825" ht="12.75" customHeight="1" x14ac:dyDescent="0.25"/>
    <row r="826" ht="12.75" customHeight="1" x14ac:dyDescent="0.25"/>
    <row r="827" ht="12.75" customHeight="1" x14ac:dyDescent="0.25"/>
    <row r="828" ht="12.75" customHeight="1" x14ac:dyDescent="0.25"/>
    <row r="829" ht="12.75" customHeight="1" x14ac:dyDescent="0.25"/>
    <row r="830" ht="12.75" customHeight="1" x14ac:dyDescent="0.25"/>
    <row r="831" ht="12.75" customHeight="1" x14ac:dyDescent="0.25"/>
    <row r="832" ht="12.75" customHeight="1" x14ac:dyDescent="0.25"/>
    <row r="833" ht="12.75" customHeight="1" x14ac:dyDescent="0.25"/>
    <row r="834" ht="12.75" customHeight="1" x14ac:dyDescent="0.25"/>
    <row r="835" ht="12.75" customHeight="1" x14ac:dyDescent="0.25"/>
    <row r="836" ht="12.75" customHeight="1" x14ac:dyDescent="0.25"/>
    <row r="837" ht="12.75" customHeight="1" x14ac:dyDescent="0.25"/>
    <row r="838" ht="12.75" customHeight="1" x14ac:dyDescent="0.25"/>
    <row r="839" ht="12.75" customHeight="1" x14ac:dyDescent="0.25"/>
    <row r="840" ht="12.75" customHeight="1" x14ac:dyDescent="0.25"/>
    <row r="841" ht="12.75" customHeight="1" x14ac:dyDescent="0.25"/>
    <row r="842" ht="12.75" customHeight="1" x14ac:dyDescent="0.25"/>
    <row r="843" ht="12.75" customHeight="1" x14ac:dyDescent="0.25"/>
    <row r="844" ht="12.75" customHeight="1" x14ac:dyDescent="0.25"/>
    <row r="845" ht="12.75" customHeight="1" x14ac:dyDescent="0.25"/>
    <row r="846" ht="12.75" customHeight="1" x14ac:dyDescent="0.25"/>
    <row r="847" ht="12.75" customHeight="1" x14ac:dyDescent="0.25"/>
    <row r="848" ht="12.75" customHeight="1" x14ac:dyDescent="0.25"/>
    <row r="849" ht="12.75" customHeight="1" x14ac:dyDescent="0.25"/>
    <row r="850" ht="12.75" customHeight="1" x14ac:dyDescent="0.25"/>
    <row r="851" ht="12.75" customHeight="1" x14ac:dyDescent="0.25"/>
    <row r="852" ht="12.75" customHeight="1" x14ac:dyDescent="0.25"/>
    <row r="853" ht="12.75" customHeight="1" x14ac:dyDescent="0.25"/>
    <row r="854" ht="12.75" customHeight="1" x14ac:dyDescent="0.25"/>
    <row r="855" ht="12.75" customHeight="1" x14ac:dyDescent="0.25"/>
    <row r="856" ht="12.75" customHeight="1" x14ac:dyDescent="0.25"/>
    <row r="857" ht="12.75" customHeight="1" x14ac:dyDescent="0.25"/>
    <row r="858" ht="12.75" customHeight="1" x14ac:dyDescent="0.25"/>
    <row r="859" ht="12.75" customHeight="1" x14ac:dyDescent="0.25"/>
    <row r="860" ht="12.75" customHeight="1" x14ac:dyDescent="0.25"/>
    <row r="861" ht="12.75" customHeight="1" x14ac:dyDescent="0.25"/>
    <row r="862" ht="12.75" customHeight="1" x14ac:dyDescent="0.25"/>
    <row r="863" ht="12.75" customHeight="1" x14ac:dyDescent="0.25"/>
    <row r="864" ht="12.75" customHeight="1" x14ac:dyDescent="0.25"/>
    <row r="865" ht="12.75" customHeight="1" x14ac:dyDescent="0.25"/>
    <row r="866" ht="12.75" customHeight="1" x14ac:dyDescent="0.25"/>
    <row r="867" ht="12.75" customHeight="1" x14ac:dyDescent="0.25"/>
    <row r="868" ht="12.75" customHeight="1" x14ac:dyDescent="0.25"/>
    <row r="869" ht="12.75" customHeight="1" x14ac:dyDescent="0.25"/>
    <row r="870" ht="12.75" customHeight="1" x14ac:dyDescent="0.25"/>
    <row r="871" ht="12.75" customHeight="1" x14ac:dyDescent="0.25"/>
    <row r="872" ht="12.75" customHeight="1" x14ac:dyDescent="0.25"/>
    <row r="873" ht="12.75" customHeight="1" x14ac:dyDescent="0.25"/>
    <row r="874" ht="12.75" customHeight="1" x14ac:dyDescent="0.25"/>
    <row r="875" ht="12.75" customHeight="1" x14ac:dyDescent="0.25"/>
    <row r="876" ht="12.75" customHeight="1" x14ac:dyDescent="0.25"/>
    <row r="877" ht="12.75" customHeight="1" x14ac:dyDescent="0.25"/>
    <row r="878" ht="12.75" customHeight="1" x14ac:dyDescent="0.25"/>
    <row r="879" ht="12.75" customHeight="1" x14ac:dyDescent="0.25"/>
    <row r="880" ht="12.75" customHeight="1" x14ac:dyDescent="0.25"/>
    <row r="881" ht="12.75" customHeight="1" x14ac:dyDescent="0.25"/>
    <row r="882" ht="12.75" customHeight="1" x14ac:dyDescent="0.25"/>
    <row r="883" ht="12.75" customHeight="1" x14ac:dyDescent="0.25"/>
    <row r="884" ht="12.75" customHeight="1" x14ac:dyDescent="0.25"/>
    <row r="885" ht="12.75" customHeight="1" x14ac:dyDescent="0.25"/>
    <row r="886" ht="12.75" customHeight="1" x14ac:dyDescent="0.25"/>
    <row r="887" ht="12.75" customHeight="1" x14ac:dyDescent="0.25"/>
    <row r="888" ht="12.75" customHeight="1" x14ac:dyDescent="0.25"/>
    <row r="889" ht="12.75" customHeight="1" x14ac:dyDescent="0.25"/>
    <row r="890" ht="12.75" customHeight="1" x14ac:dyDescent="0.25"/>
    <row r="891" ht="12.75" customHeight="1" x14ac:dyDescent="0.25"/>
    <row r="892" ht="12.75" customHeight="1" x14ac:dyDescent="0.25"/>
    <row r="893" ht="12.75" customHeight="1" x14ac:dyDescent="0.25"/>
    <row r="894" ht="12.75" customHeight="1" x14ac:dyDescent="0.25"/>
    <row r="895" ht="12.75" customHeight="1" x14ac:dyDescent="0.25"/>
    <row r="896" ht="12.75" customHeight="1" x14ac:dyDescent="0.25"/>
    <row r="897" ht="12.75" customHeight="1" x14ac:dyDescent="0.25"/>
    <row r="898" ht="12.75" customHeight="1" x14ac:dyDescent="0.25"/>
    <row r="899" ht="12.75" customHeight="1" x14ac:dyDescent="0.25"/>
    <row r="900" ht="12.75" customHeight="1" x14ac:dyDescent="0.25"/>
    <row r="901" ht="12.75" customHeight="1" x14ac:dyDescent="0.25"/>
    <row r="902" ht="12.75" customHeight="1" x14ac:dyDescent="0.25"/>
    <row r="903" ht="12.75" customHeight="1" x14ac:dyDescent="0.25"/>
    <row r="904" ht="12.75" customHeight="1" x14ac:dyDescent="0.25"/>
    <row r="905" ht="12.75" customHeight="1" x14ac:dyDescent="0.25"/>
    <row r="906" ht="12.75" customHeight="1" x14ac:dyDescent="0.25"/>
    <row r="907" ht="12.75" customHeight="1" x14ac:dyDescent="0.25"/>
    <row r="908" ht="12.75" customHeight="1" x14ac:dyDescent="0.25"/>
    <row r="909" ht="12.75" customHeight="1" x14ac:dyDescent="0.25"/>
    <row r="910" ht="12.75" customHeight="1" x14ac:dyDescent="0.25"/>
    <row r="911" ht="12.75" customHeight="1" x14ac:dyDescent="0.25"/>
    <row r="912" ht="12.75" customHeight="1" x14ac:dyDescent="0.25"/>
    <row r="913" ht="12.75" customHeight="1" x14ac:dyDescent="0.25"/>
    <row r="914" ht="12.75" customHeight="1" x14ac:dyDescent="0.25"/>
    <row r="915" ht="12.75" customHeight="1" x14ac:dyDescent="0.25"/>
    <row r="916" ht="12.75" customHeight="1" x14ac:dyDescent="0.25"/>
    <row r="917" ht="12.75" customHeight="1" x14ac:dyDescent="0.25"/>
    <row r="918" ht="12.75" customHeight="1" x14ac:dyDescent="0.25"/>
    <row r="919" ht="12.75" customHeight="1" x14ac:dyDescent="0.25"/>
    <row r="920" ht="12.75" customHeight="1" x14ac:dyDescent="0.25"/>
    <row r="921" ht="12.75" customHeight="1" x14ac:dyDescent="0.25"/>
    <row r="922" ht="12.75" customHeight="1" x14ac:dyDescent="0.25"/>
    <row r="923" ht="12.75" customHeight="1" x14ac:dyDescent="0.25"/>
    <row r="924" ht="12.75" customHeight="1" x14ac:dyDescent="0.25"/>
    <row r="925" ht="12.75" customHeight="1" x14ac:dyDescent="0.25"/>
    <row r="926" ht="12.75" customHeight="1" x14ac:dyDescent="0.25"/>
    <row r="927" ht="12.75" customHeight="1" x14ac:dyDescent="0.25"/>
    <row r="928" ht="12.75" customHeight="1" x14ac:dyDescent="0.25"/>
    <row r="929" ht="12.75" customHeight="1" x14ac:dyDescent="0.25"/>
    <row r="930" ht="12.75" customHeight="1" x14ac:dyDescent="0.25"/>
    <row r="931" ht="12.75" customHeight="1" x14ac:dyDescent="0.25"/>
    <row r="932" ht="12.75" customHeight="1" x14ac:dyDescent="0.25"/>
    <row r="933" ht="12.75" customHeight="1" x14ac:dyDescent="0.25"/>
    <row r="934" ht="12.75" customHeight="1" x14ac:dyDescent="0.25"/>
    <row r="935" ht="12.75" customHeight="1" x14ac:dyDescent="0.25"/>
    <row r="936" ht="12.75" customHeight="1" x14ac:dyDescent="0.25"/>
    <row r="937" ht="12.75" customHeight="1" x14ac:dyDescent="0.25"/>
    <row r="938" ht="12.75" customHeight="1" x14ac:dyDescent="0.25"/>
    <row r="939" ht="12.75" customHeight="1" x14ac:dyDescent="0.25"/>
    <row r="940" ht="12.75" customHeight="1" x14ac:dyDescent="0.25"/>
    <row r="941" ht="12.75" customHeight="1" x14ac:dyDescent="0.25"/>
    <row r="942" ht="12.75" customHeight="1" x14ac:dyDescent="0.25"/>
    <row r="943" ht="12.75" customHeight="1" x14ac:dyDescent="0.25"/>
    <row r="944" ht="12.75" customHeight="1" x14ac:dyDescent="0.25"/>
    <row r="945" ht="12.75" customHeight="1" x14ac:dyDescent="0.25"/>
    <row r="946" ht="12.75" customHeight="1" x14ac:dyDescent="0.25"/>
    <row r="947" ht="12.75" customHeight="1" x14ac:dyDescent="0.25"/>
    <row r="948" ht="12.75" customHeight="1" x14ac:dyDescent="0.25"/>
    <row r="949" ht="12.75" customHeight="1" x14ac:dyDescent="0.25"/>
    <row r="950" ht="12.75" customHeight="1" x14ac:dyDescent="0.25"/>
    <row r="951" ht="12.75" customHeight="1" x14ac:dyDescent="0.25"/>
    <row r="952" ht="12.75" customHeight="1" x14ac:dyDescent="0.25"/>
    <row r="953" ht="12.75" customHeight="1" x14ac:dyDescent="0.25"/>
    <row r="954" ht="12.75" customHeight="1" x14ac:dyDescent="0.25"/>
    <row r="955" ht="12.75" customHeight="1" x14ac:dyDescent="0.25"/>
    <row r="956" ht="12.75" customHeight="1" x14ac:dyDescent="0.25"/>
    <row r="957" ht="12.75" customHeight="1" x14ac:dyDescent="0.25"/>
    <row r="958" ht="12.75" customHeight="1" x14ac:dyDescent="0.25"/>
    <row r="959" ht="12.75" customHeight="1" x14ac:dyDescent="0.25"/>
    <row r="960" ht="12.75" customHeight="1" x14ac:dyDescent="0.25"/>
    <row r="961" ht="12.75" customHeight="1" x14ac:dyDescent="0.25"/>
    <row r="962" ht="12.75" customHeight="1" x14ac:dyDescent="0.25"/>
    <row r="963" ht="12.75" customHeight="1" x14ac:dyDescent="0.25"/>
    <row r="964" ht="12.75" customHeight="1" x14ac:dyDescent="0.25"/>
    <row r="965" ht="12.75" customHeight="1" x14ac:dyDescent="0.25"/>
    <row r="966" ht="12.75" customHeight="1" x14ac:dyDescent="0.25"/>
    <row r="967" ht="12.75" customHeight="1" x14ac:dyDescent="0.25"/>
    <row r="968" ht="12.75" customHeight="1" x14ac:dyDescent="0.25"/>
    <row r="969" ht="12.75" customHeight="1" x14ac:dyDescent="0.25"/>
    <row r="970" ht="12.75" customHeight="1" x14ac:dyDescent="0.25"/>
    <row r="971" ht="12.75" customHeight="1" x14ac:dyDescent="0.25"/>
    <row r="972" ht="12.75" customHeight="1" x14ac:dyDescent="0.25"/>
    <row r="973" ht="12.75" customHeight="1" x14ac:dyDescent="0.25"/>
    <row r="974" ht="12.75" customHeight="1" x14ac:dyDescent="0.25"/>
    <row r="975" ht="12.75" customHeight="1" x14ac:dyDescent="0.25"/>
    <row r="976" ht="12.75" customHeight="1" x14ac:dyDescent="0.25"/>
    <row r="977" ht="12.75" customHeight="1" x14ac:dyDescent="0.25"/>
    <row r="978" ht="12.75" customHeight="1" x14ac:dyDescent="0.25"/>
    <row r="979" ht="12.75" customHeight="1" x14ac:dyDescent="0.25"/>
    <row r="980" ht="12.75" customHeight="1" x14ac:dyDescent="0.25"/>
    <row r="981" ht="12.75" customHeight="1" x14ac:dyDescent="0.25"/>
    <row r="982" ht="12.75" customHeight="1" x14ac:dyDescent="0.25"/>
    <row r="983" ht="12.75" customHeight="1" x14ac:dyDescent="0.25"/>
    <row r="984" ht="12.75" customHeight="1" x14ac:dyDescent="0.25"/>
    <row r="985" ht="12.75" customHeight="1" x14ac:dyDescent="0.25"/>
    <row r="986" ht="12.75" customHeight="1" x14ac:dyDescent="0.25"/>
    <row r="987" ht="12.75" customHeight="1" x14ac:dyDescent="0.25"/>
    <row r="988" ht="12.75" customHeight="1" x14ac:dyDescent="0.25"/>
    <row r="989" ht="12.75" customHeight="1" x14ac:dyDescent="0.25"/>
    <row r="990" ht="12.75" customHeight="1" x14ac:dyDescent="0.25"/>
    <row r="991" ht="12.75" customHeight="1" x14ac:dyDescent="0.25"/>
    <row r="992" ht="12.75" customHeight="1" x14ac:dyDescent="0.25"/>
    <row r="993" ht="12.75" customHeight="1" x14ac:dyDescent="0.25"/>
    <row r="994" ht="12.75" customHeight="1" x14ac:dyDescent="0.25"/>
    <row r="995" ht="12.75" customHeight="1" x14ac:dyDescent="0.25"/>
    <row r="996" ht="12.75" customHeight="1" x14ac:dyDescent="0.25"/>
    <row r="997" ht="12.75" customHeight="1" x14ac:dyDescent="0.25"/>
    <row r="998" ht="12.75" customHeight="1" x14ac:dyDescent="0.25"/>
    <row r="999" ht="12.75" customHeight="1" x14ac:dyDescent="0.25"/>
    <row r="1000" ht="12.75" customHeight="1" x14ac:dyDescent="0.25"/>
  </sheetData>
  <mergeCells count="1">
    <mergeCell ref="A43:B43"/>
  </mergeCells>
  <conditionalFormatting sqref="X5:Y5 O6:P6 U10:V10 L11:M11 O11:P11 F13:G13 I13:J13 U15:V15 O16:P16 F19:G19 I21:J21 R21:S21 U21:V21 X21:Y21 F25:G25 L26:M26 R27:S27 U27:V27 AA27:AB27 F31:G31 L32:M32 R33:S33 AD34:AE34 Y35:Z35 L38:M38 R39:S39 AL39:AM39 I40:J40 AE43:AF43 X44:Y44 O45:P45 AI48:AJ48 I53:J53">
    <cfRule type="cellIs" dxfId="9" priority="2" operator="equal">
      <formula>0</formula>
    </cfRule>
  </conditionalFormatting>
  <pageMargins left="0.511811024" right="0.511811024" top="0.78740157499999996" bottom="0.78740157499999996" header="0" footer="0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F33BBC-8276-4BC9-997C-F3B914CF854F}">
  <dimension ref="B2:S23"/>
  <sheetViews>
    <sheetView showGridLines="0" topLeftCell="B1" workbookViewId="0">
      <pane xSplit="4" topLeftCell="K1" activePane="topRight" state="frozen"/>
      <selection activeCell="D25" sqref="D25"/>
      <selection pane="topRight" activeCell="D25" sqref="D25"/>
    </sheetView>
  </sheetViews>
  <sheetFormatPr defaultColWidth="9.109375" defaultRowHeight="13.2" x14ac:dyDescent="0.25"/>
  <cols>
    <col min="1" max="1" width="1.33203125" style="46" customWidth="1"/>
    <col min="2" max="2" width="5" style="46" bestFit="1" customWidth="1"/>
    <col min="3" max="3" width="49" style="46" bestFit="1" customWidth="1"/>
    <col min="4" max="4" width="12.5546875" style="46" bestFit="1" customWidth="1"/>
    <col min="5" max="5" width="19.6640625" style="46" bestFit="1" customWidth="1"/>
    <col min="6" max="6" width="24.5546875" style="46" bestFit="1" customWidth="1"/>
    <col min="7" max="7" width="31.88671875" style="46" bestFit="1" customWidth="1"/>
    <col min="8" max="8" width="32" style="46" bestFit="1" customWidth="1"/>
    <col min="9" max="9" width="14" style="46" bestFit="1" customWidth="1"/>
    <col min="10" max="10" width="12.6640625" style="46" bestFit="1" customWidth="1"/>
    <col min="11" max="12" width="13.33203125" style="46" bestFit="1" customWidth="1"/>
    <col min="13" max="16" width="15.5546875" style="46" bestFit="1" customWidth="1"/>
    <col min="17" max="17" width="17.109375" style="46" bestFit="1" customWidth="1"/>
    <col min="18" max="18" width="11.109375" style="46" bestFit="1" customWidth="1"/>
    <col min="19" max="19" width="8.33203125" style="46" bestFit="1" customWidth="1"/>
    <col min="20" max="16384" width="9.109375" style="46"/>
  </cols>
  <sheetData>
    <row r="2" spans="2:19" ht="17.399999999999999" x14ac:dyDescent="0.25">
      <c r="C2" s="103" t="s">
        <v>178</v>
      </c>
      <c r="D2" s="103"/>
      <c r="E2" s="102"/>
      <c r="F2" s="101"/>
      <c r="G2" s="100" t="s">
        <v>177</v>
      </c>
      <c r="H2" s="99"/>
      <c r="I2" s="98" t="s">
        <v>176</v>
      </c>
      <c r="J2" s="97"/>
      <c r="K2" s="96" t="s">
        <v>175</v>
      </c>
      <c r="L2" s="95" t="s">
        <v>174</v>
      </c>
      <c r="M2" s="94"/>
      <c r="N2" s="93"/>
      <c r="O2" s="92"/>
      <c r="P2" s="91"/>
      <c r="Q2" s="90"/>
    </row>
    <row r="4" spans="2:19" ht="18" thickBot="1" x14ac:dyDescent="0.3">
      <c r="C4" s="89" t="s">
        <v>173</v>
      </c>
      <c r="D4" s="88" t="s">
        <v>172</v>
      </c>
      <c r="E4" s="88"/>
      <c r="F4" s="88"/>
      <c r="G4" s="88"/>
      <c r="H4" s="88"/>
      <c r="I4" s="88"/>
      <c r="J4" s="87"/>
      <c r="K4" s="86" t="s">
        <v>171</v>
      </c>
      <c r="L4" s="85"/>
      <c r="M4" s="84"/>
      <c r="N4" s="83">
        <v>200000</v>
      </c>
      <c r="O4" s="82"/>
      <c r="P4" s="81" t="s">
        <v>170</v>
      </c>
      <c r="Q4" s="79">
        <v>45689</v>
      </c>
      <c r="R4" s="80" t="s">
        <v>169</v>
      </c>
      <c r="S4" s="79">
        <v>45778</v>
      </c>
    </row>
    <row r="5" spans="2:19" ht="13.8" thickBot="1" x14ac:dyDescent="0.3">
      <c r="B5" s="78"/>
      <c r="C5" s="77"/>
      <c r="D5" s="77"/>
      <c r="E5" s="77"/>
      <c r="F5" s="77"/>
      <c r="G5" s="77"/>
      <c r="H5" s="77"/>
      <c r="I5" s="77"/>
      <c r="J5" s="77"/>
      <c r="K5" s="77"/>
      <c r="L5" s="77"/>
      <c r="M5" s="76"/>
      <c r="N5" s="76"/>
      <c r="O5" s="76"/>
      <c r="P5" s="76"/>
      <c r="Q5" s="75"/>
    </row>
    <row r="6" spans="2:19" ht="40.200000000000003" thickBot="1" x14ac:dyDescent="0.3">
      <c r="B6" s="74" t="s">
        <v>168</v>
      </c>
      <c r="C6" s="72" t="s">
        <v>0</v>
      </c>
      <c r="D6" s="73" t="s">
        <v>167</v>
      </c>
      <c r="E6" s="73" t="s">
        <v>166</v>
      </c>
      <c r="F6" s="72" t="s">
        <v>165</v>
      </c>
      <c r="G6" s="71" t="s">
        <v>164</v>
      </c>
      <c r="H6" s="71" t="s">
        <v>163</v>
      </c>
      <c r="I6" s="70" t="s">
        <v>162</v>
      </c>
      <c r="J6" s="70" t="s">
        <v>161</v>
      </c>
      <c r="K6" s="69" t="s">
        <v>160</v>
      </c>
      <c r="L6" s="68" t="s">
        <v>159</v>
      </c>
      <c r="M6" s="67">
        <v>45689</v>
      </c>
      <c r="N6" s="67">
        <v>45717</v>
      </c>
      <c r="O6" s="67">
        <v>45748</v>
      </c>
      <c r="P6" s="67">
        <v>45778</v>
      </c>
      <c r="Q6" s="66" t="s">
        <v>158</v>
      </c>
    </row>
    <row r="7" spans="2:19" ht="13.8" thickBot="1" x14ac:dyDescent="0.3">
      <c r="B7" s="65"/>
      <c r="C7" s="64"/>
      <c r="D7" s="63"/>
      <c r="E7" s="63"/>
      <c r="F7" s="63"/>
      <c r="G7" s="63"/>
      <c r="H7" s="63"/>
      <c r="I7" s="63"/>
      <c r="J7" s="63"/>
      <c r="K7" s="63"/>
      <c r="L7" s="63"/>
      <c r="M7" s="63"/>
      <c r="N7" s="63"/>
      <c r="O7" s="63"/>
      <c r="P7" s="63"/>
      <c r="Q7" s="62"/>
    </row>
    <row r="8" spans="2:19" x14ac:dyDescent="0.25">
      <c r="B8" s="53"/>
      <c r="C8" s="59" t="s">
        <v>157</v>
      </c>
      <c r="D8" s="59" t="s">
        <v>135</v>
      </c>
      <c r="E8" s="59" t="s">
        <v>154</v>
      </c>
      <c r="F8" s="60" t="str">
        <f>IF(C8&lt;&gt;"",$D$4,"")</f>
        <v>PYD - PICK YOUR DRIVER</v>
      </c>
      <c r="G8" s="59">
        <v>4</v>
      </c>
      <c r="H8" s="58" t="s">
        <v>156</v>
      </c>
      <c r="I8" s="58"/>
      <c r="J8" s="58"/>
      <c r="K8" s="57">
        <f>19*6</f>
        <v>114</v>
      </c>
      <c r="L8" s="56">
        <f>G8*K8</f>
        <v>456</v>
      </c>
      <c r="M8" s="61">
        <f>K8</f>
        <v>114</v>
      </c>
      <c r="N8" s="61">
        <v>114</v>
      </c>
      <c r="O8" s="61">
        <v>114</v>
      </c>
      <c r="P8" s="61">
        <v>114</v>
      </c>
      <c r="Q8" s="54">
        <f>SUM(M8:P8)</f>
        <v>456</v>
      </c>
    </row>
    <row r="9" spans="2:19" x14ac:dyDescent="0.25">
      <c r="B9" s="53"/>
      <c r="C9" s="59" t="s">
        <v>155</v>
      </c>
      <c r="D9" s="59" t="s">
        <v>135</v>
      </c>
      <c r="E9" s="59" t="s">
        <v>154</v>
      </c>
      <c r="F9" s="60" t="str">
        <f>IF(C9&lt;&gt;"",$D$4,"")</f>
        <v>PYD - PICK YOUR DRIVER</v>
      </c>
      <c r="G9" s="59">
        <v>4</v>
      </c>
      <c r="H9" s="58" t="s">
        <v>153</v>
      </c>
      <c r="I9" s="58"/>
      <c r="J9" s="58"/>
      <c r="K9" s="57">
        <v>70.790000000000006</v>
      </c>
      <c r="L9" s="56">
        <f>G9*K9</f>
        <v>283.16000000000003</v>
      </c>
      <c r="M9" s="61">
        <v>70.790000000000006</v>
      </c>
      <c r="N9" s="61">
        <v>70.790000000000006</v>
      </c>
      <c r="O9" s="61">
        <v>70.790000000000006</v>
      </c>
      <c r="P9" s="61">
        <v>70.790000000000006</v>
      </c>
      <c r="Q9" s="54">
        <f>SUM(M9:P9)</f>
        <v>283.16000000000003</v>
      </c>
    </row>
    <row r="10" spans="2:19" x14ac:dyDescent="0.25">
      <c r="B10" s="53"/>
      <c r="C10" s="59" t="s">
        <v>152</v>
      </c>
      <c r="D10" s="59" t="s">
        <v>135</v>
      </c>
      <c r="E10" s="59" t="s">
        <v>134</v>
      </c>
      <c r="F10" s="60" t="str">
        <f>IF(C10&lt;&gt;"",$D$4,"")</f>
        <v>PYD - PICK YOUR DRIVER</v>
      </c>
      <c r="G10" s="59">
        <v>4</v>
      </c>
      <c r="H10" s="58" t="s">
        <v>151</v>
      </c>
      <c r="I10" s="58"/>
      <c r="J10" s="58"/>
      <c r="K10" s="57">
        <v>5000</v>
      </c>
      <c r="L10" s="56">
        <f>G10*K10</f>
        <v>20000</v>
      </c>
      <c r="M10" s="61">
        <v>5000</v>
      </c>
      <c r="N10" s="61">
        <v>5000</v>
      </c>
      <c r="O10" s="61">
        <v>5000</v>
      </c>
      <c r="P10" s="61">
        <v>5000</v>
      </c>
      <c r="Q10" s="54">
        <f>SUM(M10:P10)</f>
        <v>20000</v>
      </c>
    </row>
    <row r="11" spans="2:19" x14ac:dyDescent="0.25">
      <c r="B11" s="53"/>
      <c r="C11" s="59" t="s">
        <v>150</v>
      </c>
      <c r="D11" s="59" t="s">
        <v>135</v>
      </c>
      <c r="E11" s="59" t="s">
        <v>134</v>
      </c>
      <c r="F11" s="60" t="str">
        <f>IF(C11&lt;&gt;"",$D$4,"")</f>
        <v>PYD - PICK YOUR DRIVER</v>
      </c>
      <c r="G11" s="59">
        <v>4</v>
      </c>
      <c r="H11" s="58" t="s">
        <v>149</v>
      </c>
      <c r="I11" s="58"/>
      <c r="J11" s="58"/>
      <c r="K11" s="57">
        <v>20018</v>
      </c>
      <c r="L11" s="56">
        <f>G11*K11</f>
        <v>80072</v>
      </c>
      <c r="M11" s="61">
        <v>20018</v>
      </c>
      <c r="N11" s="61">
        <v>20018</v>
      </c>
      <c r="O11" s="61">
        <v>20018</v>
      </c>
      <c r="P11" s="61">
        <v>20018</v>
      </c>
      <c r="Q11" s="54">
        <f>SUM(M11:P11)</f>
        <v>80072</v>
      </c>
    </row>
    <row r="12" spans="2:19" x14ac:dyDescent="0.25">
      <c r="B12" s="53"/>
      <c r="C12" s="59" t="s">
        <v>148</v>
      </c>
      <c r="D12" s="59" t="s">
        <v>135</v>
      </c>
      <c r="E12" s="59" t="s">
        <v>134</v>
      </c>
      <c r="F12" s="60" t="str">
        <f>IF(C12&lt;&gt;"",$D$4,"")</f>
        <v>PYD - PICK YOUR DRIVER</v>
      </c>
      <c r="G12" s="59">
        <v>4</v>
      </c>
      <c r="H12" s="58" t="s">
        <v>147</v>
      </c>
      <c r="I12" s="58"/>
      <c r="J12" s="58"/>
      <c r="K12" s="57">
        <v>5429</v>
      </c>
      <c r="L12" s="56">
        <f>G12*K12</f>
        <v>21716</v>
      </c>
      <c r="M12" s="61">
        <v>5429</v>
      </c>
      <c r="N12" s="61">
        <v>5429</v>
      </c>
      <c r="O12" s="61">
        <v>5429</v>
      </c>
      <c r="P12" s="61">
        <v>5429</v>
      </c>
      <c r="Q12" s="54">
        <f>SUM(M12:P12)</f>
        <v>21716</v>
      </c>
    </row>
    <row r="13" spans="2:19" x14ac:dyDescent="0.25">
      <c r="B13" s="53"/>
      <c r="C13" s="59" t="s">
        <v>136</v>
      </c>
      <c r="D13" s="59" t="s">
        <v>135</v>
      </c>
      <c r="E13" s="59" t="s">
        <v>134</v>
      </c>
      <c r="F13" s="60" t="str">
        <f>IF(C13&lt;&gt;"",$D$4,"")</f>
        <v>PYD - PICK YOUR DRIVER</v>
      </c>
      <c r="G13" s="59">
        <v>4</v>
      </c>
      <c r="H13" s="58" t="s">
        <v>146</v>
      </c>
      <c r="I13" s="58"/>
      <c r="J13" s="58"/>
      <c r="K13" s="57">
        <f>90*6</f>
        <v>540</v>
      </c>
      <c r="L13" s="56">
        <f>G13*K13</f>
        <v>2160</v>
      </c>
      <c r="M13" s="61">
        <v>540</v>
      </c>
      <c r="N13" s="61">
        <v>540</v>
      </c>
      <c r="O13" s="61">
        <v>540</v>
      </c>
      <c r="P13" s="61">
        <v>540</v>
      </c>
      <c r="Q13" s="54">
        <f>SUM(M13:P13)</f>
        <v>2160</v>
      </c>
    </row>
    <row r="14" spans="2:19" x14ac:dyDescent="0.25">
      <c r="B14" s="53"/>
      <c r="C14" s="59" t="s">
        <v>145</v>
      </c>
      <c r="D14" s="59" t="s">
        <v>135</v>
      </c>
      <c r="E14" s="59" t="s">
        <v>140</v>
      </c>
      <c r="F14" s="60" t="str">
        <f>IF(C14&lt;&gt;"",$D$4,"")</f>
        <v>PYD - PICK YOUR DRIVER</v>
      </c>
      <c r="G14" s="59">
        <v>1</v>
      </c>
      <c r="H14" s="58" t="s">
        <v>144</v>
      </c>
      <c r="I14" s="58"/>
      <c r="J14" s="58"/>
      <c r="K14" s="57">
        <v>7500</v>
      </c>
      <c r="L14" s="56">
        <f>G14*K14</f>
        <v>7500</v>
      </c>
      <c r="M14" s="61">
        <f>L14/4</f>
        <v>1875</v>
      </c>
      <c r="N14" s="61">
        <v>1875</v>
      </c>
      <c r="O14" s="61">
        <v>1875</v>
      </c>
      <c r="P14" s="61">
        <v>1875</v>
      </c>
      <c r="Q14" s="54">
        <f>SUM(M14:P14)</f>
        <v>7500</v>
      </c>
    </row>
    <row r="15" spans="2:19" x14ac:dyDescent="0.25">
      <c r="B15" s="53"/>
      <c r="C15" s="59" t="s">
        <v>143</v>
      </c>
      <c r="D15" s="59" t="s">
        <v>135</v>
      </c>
      <c r="E15" s="59" t="s">
        <v>140</v>
      </c>
      <c r="F15" s="60" t="str">
        <f>IF(C15&lt;&gt;"",$D$4,"")</f>
        <v>PYD - PICK YOUR DRIVER</v>
      </c>
      <c r="G15" s="59">
        <v>4</v>
      </c>
      <c r="H15" s="58" t="s">
        <v>142</v>
      </c>
      <c r="I15" s="58"/>
      <c r="J15" s="58"/>
      <c r="K15" s="57">
        <v>1800</v>
      </c>
      <c r="L15" s="56">
        <f>G15*K15</f>
        <v>7200</v>
      </c>
      <c r="M15" s="61">
        <v>1800</v>
      </c>
      <c r="N15" s="61">
        <v>1800</v>
      </c>
      <c r="O15" s="61">
        <v>1800</v>
      </c>
      <c r="P15" s="61">
        <v>1800</v>
      </c>
      <c r="Q15" s="54">
        <f>SUM(M15:P15)</f>
        <v>7200</v>
      </c>
    </row>
    <row r="16" spans="2:19" x14ac:dyDescent="0.25">
      <c r="B16" s="53"/>
      <c r="C16" s="59" t="s">
        <v>141</v>
      </c>
      <c r="D16" s="59" t="s">
        <v>135</v>
      </c>
      <c r="E16" s="59" t="s">
        <v>140</v>
      </c>
      <c r="F16" s="60" t="str">
        <f>IF(C16&lt;&gt;"",$D$4,"")</f>
        <v>PYD - PICK YOUR DRIVER</v>
      </c>
      <c r="G16" s="59">
        <v>4</v>
      </c>
      <c r="H16" s="58" t="s">
        <v>139</v>
      </c>
      <c r="I16" s="58"/>
      <c r="J16" s="58"/>
      <c r="K16" s="57">
        <v>1000</v>
      </c>
      <c r="L16" s="56">
        <f>G16*K16</f>
        <v>4000</v>
      </c>
      <c r="M16" s="55">
        <v>1000</v>
      </c>
      <c r="N16" s="55">
        <v>1000</v>
      </c>
      <c r="O16" s="55">
        <v>1000</v>
      </c>
      <c r="P16" s="55">
        <v>1000</v>
      </c>
      <c r="Q16" s="54">
        <f>SUM(M16:P16)</f>
        <v>4000</v>
      </c>
    </row>
    <row r="17" spans="2:17" x14ac:dyDescent="0.25">
      <c r="B17" s="53"/>
      <c r="C17" s="59" t="s">
        <v>138</v>
      </c>
      <c r="D17" s="59" t="s">
        <v>135</v>
      </c>
      <c r="E17" s="59" t="s">
        <v>134</v>
      </c>
      <c r="F17" s="60" t="str">
        <f>IF(C17&lt;&gt;"",$D$4,"")</f>
        <v>PYD - PICK YOUR DRIVER</v>
      </c>
      <c r="G17" s="59">
        <v>4</v>
      </c>
      <c r="H17" s="58" t="s">
        <v>137</v>
      </c>
      <c r="I17" s="58"/>
      <c r="J17" s="58"/>
      <c r="K17" s="57">
        <f>21*6</f>
        <v>126</v>
      </c>
      <c r="L17" s="56">
        <f>G17*K17</f>
        <v>504</v>
      </c>
      <c r="M17" s="55">
        <v>126</v>
      </c>
      <c r="N17" s="55">
        <v>126</v>
      </c>
      <c r="O17" s="55">
        <v>126</v>
      </c>
      <c r="P17" s="55">
        <v>126</v>
      </c>
      <c r="Q17" s="54">
        <f>SUM(M17:P17)</f>
        <v>504</v>
      </c>
    </row>
    <row r="18" spans="2:17" ht="13.8" thickBot="1" x14ac:dyDescent="0.3">
      <c r="B18" s="53"/>
      <c r="C18" s="59" t="s">
        <v>136</v>
      </c>
      <c r="D18" s="59" t="s">
        <v>135</v>
      </c>
      <c r="E18" s="59" t="s">
        <v>134</v>
      </c>
      <c r="F18" s="60" t="str">
        <f>IF(C18&lt;&gt;"",$D$4,"")</f>
        <v>PYD - PICK YOUR DRIVER</v>
      </c>
      <c r="G18" s="59">
        <v>1</v>
      </c>
      <c r="H18" s="58" t="s">
        <v>133</v>
      </c>
      <c r="I18" s="58"/>
      <c r="J18" s="58"/>
      <c r="K18" s="57">
        <f>50*6</f>
        <v>300</v>
      </c>
      <c r="L18" s="56">
        <f>G18*K18</f>
        <v>300</v>
      </c>
      <c r="M18" s="55">
        <v>300</v>
      </c>
      <c r="N18" s="55"/>
      <c r="O18" s="55"/>
      <c r="P18" s="55"/>
      <c r="Q18" s="54">
        <f>SUM(M18:P18)</f>
        <v>300</v>
      </c>
    </row>
    <row r="19" spans="2:17" ht="18" thickBot="1" x14ac:dyDescent="0.3">
      <c r="B19" s="53"/>
      <c r="C19" s="51" t="s">
        <v>132</v>
      </c>
      <c r="D19" s="50"/>
      <c r="E19" s="50"/>
      <c r="F19" s="50"/>
      <c r="G19" s="50"/>
      <c r="H19" s="50"/>
      <c r="I19" s="50"/>
      <c r="J19" s="50"/>
      <c r="K19" s="50"/>
      <c r="L19" s="49"/>
      <c r="M19" s="48">
        <f>SUMIF($D$8:$D$18,"=Despesa",M8:M18)</f>
        <v>36272.79</v>
      </c>
      <c r="N19" s="48">
        <f>SUMIF($D$8:$D$18,"=Despesa",N8:N18)</f>
        <v>35972.79</v>
      </c>
      <c r="O19" s="48">
        <f>SUMIF($D$8:$D$18,"=Despesa",O8:O18)</f>
        <v>35972.79</v>
      </c>
      <c r="P19" s="48">
        <f>SUMIF($D$8:$D$18,"=Despesa",P8:P18)</f>
        <v>35972.79</v>
      </c>
      <c r="Q19" s="48">
        <f>SUMIF($D$8:$D$18,"=Despesa",Q8:Q18)</f>
        <v>144191.16</v>
      </c>
    </row>
    <row r="20" spans="2:17" ht="18" thickBot="1" x14ac:dyDescent="0.3">
      <c r="B20" s="53"/>
      <c r="C20" s="51" t="s">
        <v>131</v>
      </c>
      <c r="D20" s="50"/>
      <c r="E20" s="50"/>
      <c r="F20" s="50"/>
      <c r="G20" s="50"/>
      <c r="H20" s="50"/>
      <c r="I20" s="50"/>
      <c r="J20" s="50"/>
      <c r="K20" s="50"/>
      <c r="L20" s="49"/>
      <c r="M20" s="48">
        <f>SUMIF($D$8:$D$18,"=Investimento",M8:M18)</f>
        <v>0</v>
      </c>
      <c r="N20" s="48">
        <f>SUMIF($D$8:$D$18,"=Investimento",N8:N18)</f>
        <v>0</v>
      </c>
      <c r="O20" s="48">
        <f>SUMIF($D$8:$D$18,"=Investimento",O8:O18)</f>
        <v>0</v>
      </c>
      <c r="P20" s="48">
        <f>SUMIF($D$8:$D$18,"=Investimento",P8:P18)</f>
        <v>0</v>
      </c>
      <c r="Q20" s="48">
        <f>SUMIF($D$8:$D$18,"=Investimento",Q8:Q18)</f>
        <v>0</v>
      </c>
    </row>
    <row r="21" spans="2:17" ht="18" thickBot="1" x14ac:dyDescent="0.3">
      <c r="B21" s="52"/>
      <c r="C21" s="51" t="s">
        <v>130</v>
      </c>
      <c r="D21" s="50"/>
      <c r="E21" s="50"/>
      <c r="F21" s="50"/>
      <c r="G21" s="50"/>
      <c r="H21" s="50"/>
      <c r="I21" s="50"/>
      <c r="J21" s="50"/>
      <c r="K21" s="50"/>
      <c r="L21" s="49"/>
      <c r="M21" s="48">
        <f>SUM(M8:M20)</f>
        <v>72545.58</v>
      </c>
      <c r="N21" s="48">
        <f>SUM(N19:N20)</f>
        <v>35972.79</v>
      </c>
      <c r="O21" s="48">
        <f>SUM(O19:O20)</f>
        <v>35972.79</v>
      </c>
      <c r="P21" s="48">
        <f>SUM(P19:P20)</f>
        <v>35972.79</v>
      </c>
      <c r="Q21" s="48">
        <f>SUM(Q19:Q20)</f>
        <v>144191.16</v>
      </c>
    </row>
    <row r="23" spans="2:17" x14ac:dyDescent="0.25">
      <c r="C23" s="47"/>
      <c r="D23" s="47"/>
      <c r="E23" s="47"/>
      <c r="F23" s="47"/>
    </row>
  </sheetData>
  <mergeCells count="5">
    <mergeCell ref="D4:I4"/>
    <mergeCell ref="K4:M4"/>
    <mergeCell ref="N4:O4"/>
    <mergeCell ref="B6:B21"/>
    <mergeCell ref="I2:J2"/>
  </mergeCells>
  <dataValidations count="6">
    <dataValidation type="list" allowBlank="1" showInputMessage="1" showErrorMessage="1" sqref="D8:D18" xr:uid="{BC0961CE-0218-4062-AF56-03DFECA32868}">
      <formula1>"INVESTIMENTO, DESPESA"</formula1>
    </dataValidation>
    <dataValidation type="list" allowBlank="1" showInputMessage="1" showErrorMessage="1" sqref="E8:E18" xr:uid="{80011DD4-2A93-4AA0-9E13-0D88C58CF9B9}">
      <formula1>"DESENVOLVIMENTO,INFRA-ESTRUTURA,N/A"</formula1>
    </dataValidation>
    <dataValidation type="whole" operator="greaterThanOrEqual" allowBlank="1" showInputMessage="1" showErrorMessage="1" sqref="I65528:J65554 IR65528:IS65554 SN65528:SO65554 ACJ65528:ACK65554 AMF65528:AMG65554 AWB65528:AWC65554 BFX65528:BFY65554 BPT65528:BPU65554 BZP65528:BZQ65554 CJL65528:CJM65554 CTH65528:CTI65554 DDD65528:DDE65554 DMZ65528:DNA65554 DWV65528:DWW65554 EGR65528:EGS65554 EQN65528:EQO65554 FAJ65528:FAK65554 FKF65528:FKG65554 FUB65528:FUC65554 GDX65528:GDY65554 GNT65528:GNU65554 GXP65528:GXQ65554 HHL65528:HHM65554 HRH65528:HRI65554 IBD65528:IBE65554 IKZ65528:ILA65554 IUV65528:IUW65554 JER65528:JES65554 JON65528:JOO65554 JYJ65528:JYK65554 KIF65528:KIG65554 KSB65528:KSC65554 LBX65528:LBY65554 LLT65528:LLU65554 LVP65528:LVQ65554 MFL65528:MFM65554 MPH65528:MPI65554 MZD65528:MZE65554 NIZ65528:NJA65554 NSV65528:NSW65554 OCR65528:OCS65554 OMN65528:OMO65554 OWJ65528:OWK65554 PGF65528:PGG65554 PQB65528:PQC65554 PZX65528:PZY65554 QJT65528:QJU65554 QTP65528:QTQ65554 RDL65528:RDM65554 RNH65528:RNI65554 RXD65528:RXE65554 SGZ65528:SHA65554 SQV65528:SQW65554 TAR65528:TAS65554 TKN65528:TKO65554 TUJ65528:TUK65554 UEF65528:UEG65554 UOB65528:UOC65554 UXX65528:UXY65554 VHT65528:VHU65554 VRP65528:VRQ65554 WBL65528:WBM65554 WLH65528:WLI65554 WVD65528:WVE65554 I131064:J131090 IR131064:IS131090 SN131064:SO131090 ACJ131064:ACK131090 AMF131064:AMG131090 AWB131064:AWC131090 BFX131064:BFY131090 BPT131064:BPU131090 BZP131064:BZQ131090 CJL131064:CJM131090 CTH131064:CTI131090 DDD131064:DDE131090 DMZ131064:DNA131090 DWV131064:DWW131090 EGR131064:EGS131090 EQN131064:EQO131090 FAJ131064:FAK131090 FKF131064:FKG131090 FUB131064:FUC131090 GDX131064:GDY131090 GNT131064:GNU131090 GXP131064:GXQ131090 HHL131064:HHM131090 HRH131064:HRI131090 IBD131064:IBE131090 IKZ131064:ILA131090 IUV131064:IUW131090 JER131064:JES131090 JON131064:JOO131090 JYJ131064:JYK131090 KIF131064:KIG131090 KSB131064:KSC131090 LBX131064:LBY131090 LLT131064:LLU131090 LVP131064:LVQ131090 MFL131064:MFM131090 MPH131064:MPI131090 MZD131064:MZE131090 NIZ131064:NJA131090 NSV131064:NSW131090 OCR131064:OCS131090 OMN131064:OMO131090 OWJ131064:OWK131090 PGF131064:PGG131090 PQB131064:PQC131090 PZX131064:PZY131090 QJT131064:QJU131090 QTP131064:QTQ131090 RDL131064:RDM131090 RNH131064:RNI131090 RXD131064:RXE131090 SGZ131064:SHA131090 SQV131064:SQW131090 TAR131064:TAS131090 TKN131064:TKO131090 TUJ131064:TUK131090 UEF131064:UEG131090 UOB131064:UOC131090 UXX131064:UXY131090 VHT131064:VHU131090 VRP131064:VRQ131090 WBL131064:WBM131090 WLH131064:WLI131090 WVD131064:WVE131090 I196600:J196626 IR196600:IS196626 SN196600:SO196626 ACJ196600:ACK196626 AMF196600:AMG196626 AWB196600:AWC196626 BFX196600:BFY196626 BPT196600:BPU196626 BZP196600:BZQ196626 CJL196600:CJM196626 CTH196600:CTI196626 DDD196600:DDE196626 DMZ196600:DNA196626 DWV196600:DWW196626 EGR196600:EGS196626 EQN196600:EQO196626 FAJ196600:FAK196626 FKF196600:FKG196626 FUB196600:FUC196626 GDX196600:GDY196626 GNT196600:GNU196626 GXP196600:GXQ196626 HHL196600:HHM196626 HRH196600:HRI196626 IBD196600:IBE196626 IKZ196600:ILA196626 IUV196600:IUW196626 JER196600:JES196626 JON196600:JOO196626 JYJ196600:JYK196626 KIF196600:KIG196626 KSB196600:KSC196626 LBX196600:LBY196626 LLT196600:LLU196626 LVP196600:LVQ196626 MFL196600:MFM196626 MPH196600:MPI196626 MZD196600:MZE196626 NIZ196600:NJA196626 NSV196600:NSW196626 OCR196600:OCS196626 OMN196600:OMO196626 OWJ196600:OWK196626 PGF196600:PGG196626 PQB196600:PQC196626 PZX196600:PZY196626 QJT196600:QJU196626 QTP196600:QTQ196626 RDL196600:RDM196626 RNH196600:RNI196626 RXD196600:RXE196626 SGZ196600:SHA196626 SQV196600:SQW196626 TAR196600:TAS196626 TKN196600:TKO196626 TUJ196600:TUK196626 UEF196600:UEG196626 UOB196600:UOC196626 UXX196600:UXY196626 VHT196600:VHU196626 VRP196600:VRQ196626 WBL196600:WBM196626 WLH196600:WLI196626 WVD196600:WVE196626 I262136:J262162 IR262136:IS262162 SN262136:SO262162 ACJ262136:ACK262162 AMF262136:AMG262162 AWB262136:AWC262162 BFX262136:BFY262162 BPT262136:BPU262162 BZP262136:BZQ262162 CJL262136:CJM262162 CTH262136:CTI262162 DDD262136:DDE262162 DMZ262136:DNA262162 DWV262136:DWW262162 EGR262136:EGS262162 EQN262136:EQO262162 FAJ262136:FAK262162 FKF262136:FKG262162 FUB262136:FUC262162 GDX262136:GDY262162 GNT262136:GNU262162 GXP262136:GXQ262162 HHL262136:HHM262162 HRH262136:HRI262162 IBD262136:IBE262162 IKZ262136:ILA262162 IUV262136:IUW262162 JER262136:JES262162 JON262136:JOO262162 JYJ262136:JYK262162 KIF262136:KIG262162 KSB262136:KSC262162 LBX262136:LBY262162 LLT262136:LLU262162 LVP262136:LVQ262162 MFL262136:MFM262162 MPH262136:MPI262162 MZD262136:MZE262162 NIZ262136:NJA262162 NSV262136:NSW262162 OCR262136:OCS262162 OMN262136:OMO262162 OWJ262136:OWK262162 PGF262136:PGG262162 PQB262136:PQC262162 PZX262136:PZY262162 QJT262136:QJU262162 QTP262136:QTQ262162 RDL262136:RDM262162 RNH262136:RNI262162 RXD262136:RXE262162 SGZ262136:SHA262162 SQV262136:SQW262162 TAR262136:TAS262162 TKN262136:TKO262162 TUJ262136:TUK262162 UEF262136:UEG262162 UOB262136:UOC262162 UXX262136:UXY262162 VHT262136:VHU262162 VRP262136:VRQ262162 WBL262136:WBM262162 WLH262136:WLI262162 WVD262136:WVE262162 I327672:J327698 IR327672:IS327698 SN327672:SO327698 ACJ327672:ACK327698 AMF327672:AMG327698 AWB327672:AWC327698 BFX327672:BFY327698 BPT327672:BPU327698 BZP327672:BZQ327698 CJL327672:CJM327698 CTH327672:CTI327698 DDD327672:DDE327698 DMZ327672:DNA327698 DWV327672:DWW327698 EGR327672:EGS327698 EQN327672:EQO327698 FAJ327672:FAK327698 FKF327672:FKG327698 FUB327672:FUC327698 GDX327672:GDY327698 GNT327672:GNU327698 GXP327672:GXQ327698 HHL327672:HHM327698 HRH327672:HRI327698 IBD327672:IBE327698 IKZ327672:ILA327698 IUV327672:IUW327698 JER327672:JES327698 JON327672:JOO327698 JYJ327672:JYK327698 KIF327672:KIG327698 KSB327672:KSC327698 LBX327672:LBY327698 LLT327672:LLU327698 LVP327672:LVQ327698 MFL327672:MFM327698 MPH327672:MPI327698 MZD327672:MZE327698 NIZ327672:NJA327698 NSV327672:NSW327698 OCR327672:OCS327698 OMN327672:OMO327698 OWJ327672:OWK327698 PGF327672:PGG327698 PQB327672:PQC327698 PZX327672:PZY327698 QJT327672:QJU327698 QTP327672:QTQ327698 RDL327672:RDM327698 RNH327672:RNI327698 RXD327672:RXE327698 SGZ327672:SHA327698 SQV327672:SQW327698 TAR327672:TAS327698 TKN327672:TKO327698 TUJ327672:TUK327698 UEF327672:UEG327698 UOB327672:UOC327698 UXX327672:UXY327698 VHT327672:VHU327698 VRP327672:VRQ327698 WBL327672:WBM327698 WLH327672:WLI327698 WVD327672:WVE327698 I393208:J393234 IR393208:IS393234 SN393208:SO393234 ACJ393208:ACK393234 AMF393208:AMG393234 AWB393208:AWC393234 BFX393208:BFY393234 BPT393208:BPU393234 BZP393208:BZQ393234 CJL393208:CJM393234 CTH393208:CTI393234 DDD393208:DDE393234 DMZ393208:DNA393234 DWV393208:DWW393234 EGR393208:EGS393234 EQN393208:EQO393234 FAJ393208:FAK393234 FKF393208:FKG393234 FUB393208:FUC393234 GDX393208:GDY393234 GNT393208:GNU393234 GXP393208:GXQ393234 HHL393208:HHM393234 HRH393208:HRI393234 IBD393208:IBE393234 IKZ393208:ILA393234 IUV393208:IUW393234 JER393208:JES393234 JON393208:JOO393234 JYJ393208:JYK393234 KIF393208:KIG393234 KSB393208:KSC393234 LBX393208:LBY393234 LLT393208:LLU393234 LVP393208:LVQ393234 MFL393208:MFM393234 MPH393208:MPI393234 MZD393208:MZE393234 NIZ393208:NJA393234 NSV393208:NSW393234 OCR393208:OCS393234 OMN393208:OMO393234 OWJ393208:OWK393234 PGF393208:PGG393234 PQB393208:PQC393234 PZX393208:PZY393234 QJT393208:QJU393234 QTP393208:QTQ393234 RDL393208:RDM393234 RNH393208:RNI393234 RXD393208:RXE393234 SGZ393208:SHA393234 SQV393208:SQW393234 TAR393208:TAS393234 TKN393208:TKO393234 TUJ393208:TUK393234 UEF393208:UEG393234 UOB393208:UOC393234 UXX393208:UXY393234 VHT393208:VHU393234 VRP393208:VRQ393234 WBL393208:WBM393234 WLH393208:WLI393234 WVD393208:WVE393234 I458744:J458770 IR458744:IS458770 SN458744:SO458770 ACJ458744:ACK458770 AMF458744:AMG458770 AWB458744:AWC458770 BFX458744:BFY458770 BPT458744:BPU458770 BZP458744:BZQ458770 CJL458744:CJM458770 CTH458744:CTI458770 DDD458744:DDE458770 DMZ458744:DNA458770 DWV458744:DWW458770 EGR458744:EGS458770 EQN458744:EQO458770 FAJ458744:FAK458770 FKF458744:FKG458770 FUB458744:FUC458770 GDX458744:GDY458770 GNT458744:GNU458770 GXP458744:GXQ458770 HHL458744:HHM458770 HRH458744:HRI458770 IBD458744:IBE458770 IKZ458744:ILA458770 IUV458744:IUW458770 JER458744:JES458770 JON458744:JOO458770 JYJ458744:JYK458770 KIF458744:KIG458770 KSB458744:KSC458770 LBX458744:LBY458770 LLT458744:LLU458770 LVP458744:LVQ458770 MFL458744:MFM458770 MPH458744:MPI458770 MZD458744:MZE458770 NIZ458744:NJA458770 NSV458744:NSW458770 OCR458744:OCS458770 OMN458744:OMO458770 OWJ458744:OWK458770 PGF458744:PGG458770 PQB458744:PQC458770 PZX458744:PZY458770 QJT458744:QJU458770 QTP458744:QTQ458770 RDL458744:RDM458770 RNH458744:RNI458770 RXD458744:RXE458770 SGZ458744:SHA458770 SQV458744:SQW458770 TAR458744:TAS458770 TKN458744:TKO458770 TUJ458744:TUK458770 UEF458744:UEG458770 UOB458744:UOC458770 UXX458744:UXY458770 VHT458744:VHU458770 VRP458744:VRQ458770 WBL458744:WBM458770 WLH458744:WLI458770 WVD458744:WVE458770 I524280:J524306 IR524280:IS524306 SN524280:SO524306 ACJ524280:ACK524306 AMF524280:AMG524306 AWB524280:AWC524306 BFX524280:BFY524306 BPT524280:BPU524306 BZP524280:BZQ524306 CJL524280:CJM524306 CTH524280:CTI524306 DDD524280:DDE524306 DMZ524280:DNA524306 DWV524280:DWW524306 EGR524280:EGS524306 EQN524280:EQO524306 FAJ524280:FAK524306 FKF524280:FKG524306 FUB524280:FUC524306 GDX524280:GDY524306 GNT524280:GNU524306 GXP524280:GXQ524306 HHL524280:HHM524306 HRH524280:HRI524306 IBD524280:IBE524306 IKZ524280:ILA524306 IUV524280:IUW524306 JER524280:JES524306 JON524280:JOO524306 JYJ524280:JYK524306 KIF524280:KIG524306 KSB524280:KSC524306 LBX524280:LBY524306 LLT524280:LLU524306 LVP524280:LVQ524306 MFL524280:MFM524306 MPH524280:MPI524306 MZD524280:MZE524306 NIZ524280:NJA524306 NSV524280:NSW524306 OCR524280:OCS524306 OMN524280:OMO524306 OWJ524280:OWK524306 PGF524280:PGG524306 PQB524280:PQC524306 PZX524280:PZY524306 QJT524280:QJU524306 QTP524280:QTQ524306 RDL524280:RDM524306 RNH524280:RNI524306 RXD524280:RXE524306 SGZ524280:SHA524306 SQV524280:SQW524306 TAR524280:TAS524306 TKN524280:TKO524306 TUJ524280:TUK524306 UEF524280:UEG524306 UOB524280:UOC524306 UXX524280:UXY524306 VHT524280:VHU524306 VRP524280:VRQ524306 WBL524280:WBM524306 WLH524280:WLI524306 WVD524280:WVE524306 I589816:J589842 IR589816:IS589842 SN589816:SO589842 ACJ589816:ACK589842 AMF589816:AMG589842 AWB589816:AWC589842 BFX589816:BFY589842 BPT589816:BPU589842 BZP589816:BZQ589842 CJL589816:CJM589842 CTH589816:CTI589842 DDD589816:DDE589842 DMZ589816:DNA589842 DWV589816:DWW589842 EGR589816:EGS589842 EQN589816:EQO589842 FAJ589816:FAK589842 FKF589816:FKG589842 FUB589816:FUC589842 GDX589816:GDY589842 GNT589816:GNU589842 GXP589816:GXQ589842 HHL589816:HHM589842 HRH589816:HRI589842 IBD589816:IBE589842 IKZ589816:ILA589842 IUV589816:IUW589842 JER589816:JES589842 JON589816:JOO589842 JYJ589816:JYK589842 KIF589816:KIG589842 KSB589816:KSC589842 LBX589816:LBY589842 LLT589816:LLU589842 LVP589816:LVQ589842 MFL589816:MFM589842 MPH589816:MPI589842 MZD589816:MZE589842 NIZ589816:NJA589842 NSV589816:NSW589842 OCR589816:OCS589842 OMN589816:OMO589842 OWJ589816:OWK589842 PGF589816:PGG589842 PQB589816:PQC589842 PZX589816:PZY589842 QJT589816:QJU589842 QTP589816:QTQ589842 RDL589816:RDM589842 RNH589816:RNI589842 RXD589816:RXE589842 SGZ589816:SHA589842 SQV589816:SQW589842 TAR589816:TAS589842 TKN589816:TKO589842 TUJ589816:TUK589842 UEF589816:UEG589842 UOB589816:UOC589842 UXX589816:UXY589842 VHT589816:VHU589842 VRP589816:VRQ589842 WBL589816:WBM589842 WLH589816:WLI589842 WVD589816:WVE589842 I655352:J655378 IR655352:IS655378 SN655352:SO655378 ACJ655352:ACK655378 AMF655352:AMG655378 AWB655352:AWC655378 BFX655352:BFY655378 BPT655352:BPU655378 BZP655352:BZQ655378 CJL655352:CJM655378 CTH655352:CTI655378 DDD655352:DDE655378 DMZ655352:DNA655378 DWV655352:DWW655378 EGR655352:EGS655378 EQN655352:EQO655378 FAJ655352:FAK655378 FKF655352:FKG655378 FUB655352:FUC655378 GDX655352:GDY655378 GNT655352:GNU655378 GXP655352:GXQ655378 HHL655352:HHM655378 HRH655352:HRI655378 IBD655352:IBE655378 IKZ655352:ILA655378 IUV655352:IUW655378 JER655352:JES655378 JON655352:JOO655378 JYJ655352:JYK655378 KIF655352:KIG655378 KSB655352:KSC655378 LBX655352:LBY655378 LLT655352:LLU655378 LVP655352:LVQ655378 MFL655352:MFM655378 MPH655352:MPI655378 MZD655352:MZE655378 NIZ655352:NJA655378 NSV655352:NSW655378 OCR655352:OCS655378 OMN655352:OMO655378 OWJ655352:OWK655378 PGF655352:PGG655378 PQB655352:PQC655378 PZX655352:PZY655378 QJT655352:QJU655378 QTP655352:QTQ655378 RDL655352:RDM655378 RNH655352:RNI655378 RXD655352:RXE655378 SGZ655352:SHA655378 SQV655352:SQW655378 TAR655352:TAS655378 TKN655352:TKO655378 TUJ655352:TUK655378 UEF655352:UEG655378 UOB655352:UOC655378 UXX655352:UXY655378 VHT655352:VHU655378 VRP655352:VRQ655378 WBL655352:WBM655378 WLH655352:WLI655378 WVD655352:WVE655378 I720888:J720914 IR720888:IS720914 SN720888:SO720914 ACJ720888:ACK720914 AMF720888:AMG720914 AWB720888:AWC720914 BFX720888:BFY720914 BPT720888:BPU720914 BZP720888:BZQ720914 CJL720888:CJM720914 CTH720888:CTI720914 DDD720888:DDE720914 DMZ720888:DNA720914 DWV720888:DWW720914 EGR720888:EGS720914 EQN720888:EQO720914 FAJ720888:FAK720914 FKF720888:FKG720914 FUB720888:FUC720914 GDX720888:GDY720914 GNT720888:GNU720914 GXP720888:GXQ720914 HHL720888:HHM720914 HRH720888:HRI720914 IBD720888:IBE720914 IKZ720888:ILA720914 IUV720888:IUW720914 JER720888:JES720914 JON720888:JOO720914 JYJ720888:JYK720914 KIF720888:KIG720914 KSB720888:KSC720914 LBX720888:LBY720914 LLT720888:LLU720914 LVP720888:LVQ720914 MFL720888:MFM720914 MPH720888:MPI720914 MZD720888:MZE720914 NIZ720888:NJA720914 NSV720888:NSW720914 OCR720888:OCS720914 OMN720888:OMO720914 OWJ720888:OWK720914 PGF720888:PGG720914 PQB720888:PQC720914 PZX720888:PZY720914 QJT720888:QJU720914 QTP720888:QTQ720914 RDL720888:RDM720914 RNH720888:RNI720914 RXD720888:RXE720914 SGZ720888:SHA720914 SQV720888:SQW720914 TAR720888:TAS720914 TKN720888:TKO720914 TUJ720888:TUK720914 UEF720888:UEG720914 UOB720888:UOC720914 UXX720888:UXY720914 VHT720888:VHU720914 VRP720888:VRQ720914 WBL720888:WBM720914 WLH720888:WLI720914 WVD720888:WVE720914 I786424:J786450 IR786424:IS786450 SN786424:SO786450 ACJ786424:ACK786450 AMF786424:AMG786450 AWB786424:AWC786450 BFX786424:BFY786450 BPT786424:BPU786450 BZP786424:BZQ786450 CJL786424:CJM786450 CTH786424:CTI786450 DDD786424:DDE786450 DMZ786424:DNA786450 DWV786424:DWW786450 EGR786424:EGS786450 EQN786424:EQO786450 FAJ786424:FAK786450 FKF786424:FKG786450 FUB786424:FUC786450 GDX786424:GDY786450 GNT786424:GNU786450 GXP786424:GXQ786450 HHL786424:HHM786450 HRH786424:HRI786450 IBD786424:IBE786450 IKZ786424:ILA786450 IUV786424:IUW786450 JER786424:JES786450 JON786424:JOO786450 JYJ786424:JYK786450 KIF786424:KIG786450 KSB786424:KSC786450 LBX786424:LBY786450 LLT786424:LLU786450 LVP786424:LVQ786450 MFL786424:MFM786450 MPH786424:MPI786450 MZD786424:MZE786450 NIZ786424:NJA786450 NSV786424:NSW786450 OCR786424:OCS786450 OMN786424:OMO786450 OWJ786424:OWK786450 PGF786424:PGG786450 PQB786424:PQC786450 PZX786424:PZY786450 QJT786424:QJU786450 QTP786424:QTQ786450 RDL786424:RDM786450 RNH786424:RNI786450 RXD786424:RXE786450 SGZ786424:SHA786450 SQV786424:SQW786450 TAR786424:TAS786450 TKN786424:TKO786450 TUJ786424:TUK786450 UEF786424:UEG786450 UOB786424:UOC786450 UXX786424:UXY786450 VHT786424:VHU786450 VRP786424:VRQ786450 WBL786424:WBM786450 WLH786424:WLI786450 WVD786424:WVE786450 I851960:J851986 IR851960:IS851986 SN851960:SO851986 ACJ851960:ACK851986 AMF851960:AMG851986 AWB851960:AWC851986 BFX851960:BFY851986 BPT851960:BPU851986 BZP851960:BZQ851986 CJL851960:CJM851986 CTH851960:CTI851986 DDD851960:DDE851986 DMZ851960:DNA851986 DWV851960:DWW851986 EGR851960:EGS851986 EQN851960:EQO851986 FAJ851960:FAK851986 FKF851960:FKG851986 FUB851960:FUC851986 GDX851960:GDY851986 GNT851960:GNU851986 GXP851960:GXQ851986 HHL851960:HHM851986 HRH851960:HRI851986 IBD851960:IBE851986 IKZ851960:ILA851986 IUV851960:IUW851986 JER851960:JES851986 JON851960:JOO851986 JYJ851960:JYK851986 KIF851960:KIG851986 KSB851960:KSC851986 LBX851960:LBY851986 LLT851960:LLU851986 LVP851960:LVQ851986 MFL851960:MFM851986 MPH851960:MPI851986 MZD851960:MZE851986 NIZ851960:NJA851986 NSV851960:NSW851986 OCR851960:OCS851986 OMN851960:OMO851986 OWJ851960:OWK851986 PGF851960:PGG851986 PQB851960:PQC851986 PZX851960:PZY851986 QJT851960:QJU851986 QTP851960:QTQ851986 RDL851960:RDM851986 RNH851960:RNI851986 RXD851960:RXE851986 SGZ851960:SHA851986 SQV851960:SQW851986 TAR851960:TAS851986 TKN851960:TKO851986 TUJ851960:TUK851986 UEF851960:UEG851986 UOB851960:UOC851986 UXX851960:UXY851986 VHT851960:VHU851986 VRP851960:VRQ851986 WBL851960:WBM851986 WLH851960:WLI851986 WVD851960:WVE851986 I917496:J917522 IR917496:IS917522 SN917496:SO917522 ACJ917496:ACK917522 AMF917496:AMG917522 AWB917496:AWC917522 BFX917496:BFY917522 BPT917496:BPU917522 BZP917496:BZQ917522 CJL917496:CJM917522 CTH917496:CTI917522 DDD917496:DDE917522 DMZ917496:DNA917522 DWV917496:DWW917522 EGR917496:EGS917522 EQN917496:EQO917522 FAJ917496:FAK917522 FKF917496:FKG917522 FUB917496:FUC917522 GDX917496:GDY917522 GNT917496:GNU917522 GXP917496:GXQ917522 HHL917496:HHM917522 HRH917496:HRI917522 IBD917496:IBE917522 IKZ917496:ILA917522 IUV917496:IUW917522 JER917496:JES917522 JON917496:JOO917522 JYJ917496:JYK917522 KIF917496:KIG917522 KSB917496:KSC917522 LBX917496:LBY917522 LLT917496:LLU917522 LVP917496:LVQ917522 MFL917496:MFM917522 MPH917496:MPI917522 MZD917496:MZE917522 NIZ917496:NJA917522 NSV917496:NSW917522 OCR917496:OCS917522 OMN917496:OMO917522 OWJ917496:OWK917522 PGF917496:PGG917522 PQB917496:PQC917522 PZX917496:PZY917522 QJT917496:QJU917522 QTP917496:QTQ917522 RDL917496:RDM917522 RNH917496:RNI917522 RXD917496:RXE917522 SGZ917496:SHA917522 SQV917496:SQW917522 TAR917496:TAS917522 TKN917496:TKO917522 TUJ917496:TUK917522 UEF917496:UEG917522 UOB917496:UOC917522 UXX917496:UXY917522 VHT917496:VHU917522 VRP917496:VRQ917522 WBL917496:WBM917522 WLH917496:WLI917522 WVD917496:WVE917522 I983032:J983058 IR983032:IS983058 SN983032:SO983058 ACJ983032:ACK983058 AMF983032:AMG983058 AWB983032:AWC983058 BFX983032:BFY983058 BPT983032:BPU983058 BZP983032:BZQ983058 CJL983032:CJM983058 CTH983032:CTI983058 DDD983032:DDE983058 DMZ983032:DNA983058 DWV983032:DWW983058 EGR983032:EGS983058 EQN983032:EQO983058 FAJ983032:FAK983058 FKF983032:FKG983058 FUB983032:FUC983058 GDX983032:GDY983058 GNT983032:GNU983058 GXP983032:GXQ983058 HHL983032:HHM983058 HRH983032:HRI983058 IBD983032:IBE983058 IKZ983032:ILA983058 IUV983032:IUW983058 JER983032:JES983058 JON983032:JOO983058 JYJ983032:JYK983058 KIF983032:KIG983058 KSB983032:KSC983058 LBX983032:LBY983058 LLT983032:LLU983058 LVP983032:LVQ983058 MFL983032:MFM983058 MPH983032:MPI983058 MZD983032:MZE983058 NIZ983032:NJA983058 NSV983032:NSW983058 OCR983032:OCS983058 OMN983032:OMO983058 OWJ983032:OWK983058 PGF983032:PGG983058 PQB983032:PQC983058 PZX983032:PZY983058 QJT983032:QJU983058 QTP983032:QTQ983058 RDL983032:RDM983058 RNH983032:RNI983058 RXD983032:RXE983058 SGZ983032:SHA983058 SQV983032:SQW983058 TAR983032:TAS983058 TKN983032:TKO983058 TUJ983032:TUK983058 UEF983032:UEG983058 UOB983032:UOC983058 UXX983032:UXY983058 VHT983032:VHU983058 VRP983032:VRQ983058 WBL983032:WBM983058 WLH983032:WLI983058 WVD983032:WVE983058 WVD8:WVE18 WLH8:WLI18 WBL8:WBM18 VRP8:VRQ18 VHT8:VHU18 UXX8:UXY18 UOB8:UOC18 UEF8:UEG18 TUJ8:TUK18 TKN8:TKO18 TAR8:TAS18 SQV8:SQW18 SGZ8:SHA18 RXD8:RXE18 RNH8:RNI18 RDL8:RDM18 QTP8:QTQ18 QJT8:QJU18 PZX8:PZY18 PQB8:PQC18 PGF8:PGG18 OWJ8:OWK18 OMN8:OMO18 OCR8:OCS18 NSV8:NSW18 NIZ8:NJA18 MZD8:MZE18 MPH8:MPI18 MFL8:MFM18 LVP8:LVQ18 LLT8:LLU18 LBX8:LBY18 KSB8:KSC18 KIF8:KIG18 JYJ8:JYK18 JON8:JOO18 JER8:JES18 IUV8:IUW18 IKZ8:ILA18 IBD8:IBE18 HRH8:HRI18 HHL8:HHM18 GXP8:GXQ18 GNT8:GNU18 GDX8:GDY18 FUB8:FUC18 FKF8:FKG18 FAJ8:FAK18 EQN8:EQO18 EGR8:EGS18 DWV8:DWW18 DMZ8:DNA18 DDD8:DDE18 CTH8:CTI18 CJL8:CJM18 BZP8:BZQ18 BPT8:BPU18 BFX8:BFY18 AWB8:AWC18 AMF8:AMG18 ACJ8:ACK18 SN8:SO18 IR8:IS18 I8:J18" xr:uid="{E6AC4EF1-1E30-42F6-BFAF-2A7F8507B815}">
      <formula1>0</formula1>
    </dataValidation>
    <dataValidation type="decimal" operator="greaterThanOrEqual" allowBlank="1" showInputMessage="1" showErrorMessage="1" sqref="G65528:G65554 IP65528:IP65554 SL65528:SL65554 ACH65528:ACH65554 AMD65528:AMD65554 AVZ65528:AVZ65554 BFV65528:BFV65554 BPR65528:BPR65554 BZN65528:BZN65554 CJJ65528:CJJ65554 CTF65528:CTF65554 DDB65528:DDB65554 DMX65528:DMX65554 DWT65528:DWT65554 EGP65528:EGP65554 EQL65528:EQL65554 FAH65528:FAH65554 FKD65528:FKD65554 FTZ65528:FTZ65554 GDV65528:GDV65554 GNR65528:GNR65554 GXN65528:GXN65554 HHJ65528:HHJ65554 HRF65528:HRF65554 IBB65528:IBB65554 IKX65528:IKX65554 IUT65528:IUT65554 JEP65528:JEP65554 JOL65528:JOL65554 JYH65528:JYH65554 KID65528:KID65554 KRZ65528:KRZ65554 LBV65528:LBV65554 LLR65528:LLR65554 LVN65528:LVN65554 MFJ65528:MFJ65554 MPF65528:MPF65554 MZB65528:MZB65554 NIX65528:NIX65554 NST65528:NST65554 OCP65528:OCP65554 OML65528:OML65554 OWH65528:OWH65554 PGD65528:PGD65554 PPZ65528:PPZ65554 PZV65528:PZV65554 QJR65528:QJR65554 QTN65528:QTN65554 RDJ65528:RDJ65554 RNF65528:RNF65554 RXB65528:RXB65554 SGX65528:SGX65554 SQT65528:SQT65554 TAP65528:TAP65554 TKL65528:TKL65554 TUH65528:TUH65554 UED65528:UED65554 UNZ65528:UNZ65554 UXV65528:UXV65554 VHR65528:VHR65554 VRN65528:VRN65554 WBJ65528:WBJ65554 WLF65528:WLF65554 WVB65528:WVB65554 G131064:G131090 IP131064:IP131090 SL131064:SL131090 ACH131064:ACH131090 AMD131064:AMD131090 AVZ131064:AVZ131090 BFV131064:BFV131090 BPR131064:BPR131090 BZN131064:BZN131090 CJJ131064:CJJ131090 CTF131064:CTF131090 DDB131064:DDB131090 DMX131064:DMX131090 DWT131064:DWT131090 EGP131064:EGP131090 EQL131064:EQL131090 FAH131064:FAH131090 FKD131064:FKD131090 FTZ131064:FTZ131090 GDV131064:GDV131090 GNR131064:GNR131090 GXN131064:GXN131090 HHJ131064:HHJ131090 HRF131064:HRF131090 IBB131064:IBB131090 IKX131064:IKX131090 IUT131064:IUT131090 JEP131064:JEP131090 JOL131064:JOL131090 JYH131064:JYH131090 KID131064:KID131090 KRZ131064:KRZ131090 LBV131064:LBV131090 LLR131064:LLR131090 LVN131064:LVN131090 MFJ131064:MFJ131090 MPF131064:MPF131090 MZB131064:MZB131090 NIX131064:NIX131090 NST131064:NST131090 OCP131064:OCP131090 OML131064:OML131090 OWH131064:OWH131090 PGD131064:PGD131090 PPZ131064:PPZ131090 PZV131064:PZV131090 QJR131064:QJR131090 QTN131064:QTN131090 RDJ131064:RDJ131090 RNF131064:RNF131090 RXB131064:RXB131090 SGX131064:SGX131090 SQT131064:SQT131090 TAP131064:TAP131090 TKL131064:TKL131090 TUH131064:TUH131090 UED131064:UED131090 UNZ131064:UNZ131090 UXV131064:UXV131090 VHR131064:VHR131090 VRN131064:VRN131090 WBJ131064:WBJ131090 WLF131064:WLF131090 WVB131064:WVB131090 G196600:G196626 IP196600:IP196626 SL196600:SL196626 ACH196600:ACH196626 AMD196600:AMD196626 AVZ196600:AVZ196626 BFV196600:BFV196626 BPR196600:BPR196626 BZN196600:BZN196626 CJJ196600:CJJ196626 CTF196600:CTF196626 DDB196600:DDB196626 DMX196600:DMX196626 DWT196600:DWT196626 EGP196600:EGP196626 EQL196600:EQL196626 FAH196600:FAH196626 FKD196600:FKD196626 FTZ196600:FTZ196626 GDV196600:GDV196626 GNR196600:GNR196626 GXN196600:GXN196626 HHJ196600:HHJ196626 HRF196600:HRF196626 IBB196600:IBB196626 IKX196600:IKX196626 IUT196600:IUT196626 JEP196600:JEP196626 JOL196600:JOL196626 JYH196600:JYH196626 KID196600:KID196626 KRZ196600:KRZ196626 LBV196600:LBV196626 LLR196600:LLR196626 LVN196600:LVN196626 MFJ196600:MFJ196626 MPF196600:MPF196626 MZB196600:MZB196626 NIX196600:NIX196626 NST196600:NST196626 OCP196600:OCP196626 OML196600:OML196626 OWH196600:OWH196626 PGD196600:PGD196626 PPZ196600:PPZ196626 PZV196600:PZV196626 QJR196600:QJR196626 QTN196600:QTN196626 RDJ196600:RDJ196626 RNF196600:RNF196626 RXB196600:RXB196626 SGX196600:SGX196626 SQT196600:SQT196626 TAP196600:TAP196626 TKL196600:TKL196626 TUH196600:TUH196626 UED196600:UED196626 UNZ196600:UNZ196626 UXV196600:UXV196626 VHR196600:VHR196626 VRN196600:VRN196626 WBJ196600:WBJ196626 WLF196600:WLF196626 WVB196600:WVB196626 G262136:G262162 IP262136:IP262162 SL262136:SL262162 ACH262136:ACH262162 AMD262136:AMD262162 AVZ262136:AVZ262162 BFV262136:BFV262162 BPR262136:BPR262162 BZN262136:BZN262162 CJJ262136:CJJ262162 CTF262136:CTF262162 DDB262136:DDB262162 DMX262136:DMX262162 DWT262136:DWT262162 EGP262136:EGP262162 EQL262136:EQL262162 FAH262136:FAH262162 FKD262136:FKD262162 FTZ262136:FTZ262162 GDV262136:GDV262162 GNR262136:GNR262162 GXN262136:GXN262162 HHJ262136:HHJ262162 HRF262136:HRF262162 IBB262136:IBB262162 IKX262136:IKX262162 IUT262136:IUT262162 JEP262136:JEP262162 JOL262136:JOL262162 JYH262136:JYH262162 KID262136:KID262162 KRZ262136:KRZ262162 LBV262136:LBV262162 LLR262136:LLR262162 LVN262136:LVN262162 MFJ262136:MFJ262162 MPF262136:MPF262162 MZB262136:MZB262162 NIX262136:NIX262162 NST262136:NST262162 OCP262136:OCP262162 OML262136:OML262162 OWH262136:OWH262162 PGD262136:PGD262162 PPZ262136:PPZ262162 PZV262136:PZV262162 QJR262136:QJR262162 QTN262136:QTN262162 RDJ262136:RDJ262162 RNF262136:RNF262162 RXB262136:RXB262162 SGX262136:SGX262162 SQT262136:SQT262162 TAP262136:TAP262162 TKL262136:TKL262162 TUH262136:TUH262162 UED262136:UED262162 UNZ262136:UNZ262162 UXV262136:UXV262162 VHR262136:VHR262162 VRN262136:VRN262162 WBJ262136:WBJ262162 WLF262136:WLF262162 WVB262136:WVB262162 G327672:G327698 IP327672:IP327698 SL327672:SL327698 ACH327672:ACH327698 AMD327672:AMD327698 AVZ327672:AVZ327698 BFV327672:BFV327698 BPR327672:BPR327698 BZN327672:BZN327698 CJJ327672:CJJ327698 CTF327672:CTF327698 DDB327672:DDB327698 DMX327672:DMX327698 DWT327672:DWT327698 EGP327672:EGP327698 EQL327672:EQL327698 FAH327672:FAH327698 FKD327672:FKD327698 FTZ327672:FTZ327698 GDV327672:GDV327698 GNR327672:GNR327698 GXN327672:GXN327698 HHJ327672:HHJ327698 HRF327672:HRF327698 IBB327672:IBB327698 IKX327672:IKX327698 IUT327672:IUT327698 JEP327672:JEP327698 JOL327672:JOL327698 JYH327672:JYH327698 KID327672:KID327698 KRZ327672:KRZ327698 LBV327672:LBV327698 LLR327672:LLR327698 LVN327672:LVN327698 MFJ327672:MFJ327698 MPF327672:MPF327698 MZB327672:MZB327698 NIX327672:NIX327698 NST327672:NST327698 OCP327672:OCP327698 OML327672:OML327698 OWH327672:OWH327698 PGD327672:PGD327698 PPZ327672:PPZ327698 PZV327672:PZV327698 QJR327672:QJR327698 QTN327672:QTN327698 RDJ327672:RDJ327698 RNF327672:RNF327698 RXB327672:RXB327698 SGX327672:SGX327698 SQT327672:SQT327698 TAP327672:TAP327698 TKL327672:TKL327698 TUH327672:TUH327698 UED327672:UED327698 UNZ327672:UNZ327698 UXV327672:UXV327698 VHR327672:VHR327698 VRN327672:VRN327698 WBJ327672:WBJ327698 WLF327672:WLF327698 WVB327672:WVB327698 G393208:G393234 IP393208:IP393234 SL393208:SL393234 ACH393208:ACH393234 AMD393208:AMD393234 AVZ393208:AVZ393234 BFV393208:BFV393234 BPR393208:BPR393234 BZN393208:BZN393234 CJJ393208:CJJ393234 CTF393208:CTF393234 DDB393208:DDB393234 DMX393208:DMX393234 DWT393208:DWT393234 EGP393208:EGP393234 EQL393208:EQL393234 FAH393208:FAH393234 FKD393208:FKD393234 FTZ393208:FTZ393234 GDV393208:GDV393234 GNR393208:GNR393234 GXN393208:GXN393234 HHJ393208:HHJ393234 HRF393208:HRF393234 IBB393208:IBB393234 IKX393208:IKX393234 IUT393208:IUT393234 JEP393208:JEP393234 JOL393208:JOL393234 JYH393208:JYH393234 KID393208:KID393234 KRZ393208:KRZ393234 LBV393208:LBV393234 LLR393208:LLR393234 LVN393208:LVN393234 MFJ393208:MFJ393234 MPF393208:MPF393234 MZB393208:MZB393234 NIX393208:NIX393234 NST393208:NST393234 OCP393208:OCP393234 OML393208:OML393234 OWH393208:OWH393234 PGD393208:PGD393234 PPZ393208:PPZ393234 PZV393208:PZV393234 QJR393208:QJR393234 QTN393208:QTN393234 RDJ393208:RDJ393234 RNF393208:RNF393234 RXB393208:RXB393234 SGX393208:SGX393234 SQT393208:SQT393234 TAP393208:TAP393234 TKL393208:TKL393234 TUH393208:TUH393234 UED393208:UED393234 UNZ393208:UNZ393234 UXV393208:UXV393234 VHR393208:VHR393234 VRN393208:VRN393234 WBJ393208:WBJ393234 WLF393208:WLF393234 WVB393208:WVB393234 G458744:G458770 IP458744:IP458770 SL458744:SL458770 ACH458744:ACH458770 AMD458744:AMD458770 AVZ458744:AVZ458770 BFV458744:BFV458770 BPR458744:BPR458770 BZN458744:BZN458770 CJJ458744:CJJ458770 CTF458744:CTF458770 DDB458744:DDB458770 DMX458744:DMX458770 DWT458744:DWT458770 EGP458744:EGP458770 EQL458744:EQL458770 FAH458744:FAH458770 FKD458744:FKD458770 FTZ458744:FTZ458770 GDV458744:GDV458770 GNR458744:GNR458770 GXN458744:GXN458770 HHJ458744:HHJ458770 HRF458744:HRF458770 IBB458744:IBB458770 IKX458744:IKX458770 IUT458744:IUT458770 JEP458744:JEP458770 JOL458744:JOL458770 JYH458744:JYH458770 KID458744:KID458770 KRZ458744:KRZ458770 LBV458744:LBV458770 LLR458744:LLR458770 LVN458744:LVN458770 MFJ458744:MFJ458770 MPF458744:MPF458770 MZB458744:MZB458770 NIX458744:NIX458770 NST458744:NST458770 OCP458744:OCP458770 OML458744:OML458770 OWH458744:OWH458770 PGD458744:PGD458770 PPZ458744:PPZ458770 PZV458744:PZV458770 QJR458744:QJR458770 QTN458744:QTN458770 RDJ458744:RDJ458770 RNF458744:RNF458770 RXB458744:RXB458770 SGX458744:SGX458770 SQT458744:SQT458770 TAP458744:TAP458770 TKL458744:TKL458770 TUH458744:TUH458770 UED458744:UED458770 UNZ458744:UNZ458770 UXV458744:UXV458770 VHR458744:VHR458770 VRN458744:VRN458770 WBJ458744:WBJ458770 WLF458744:WLF458770 WVB458744:WVB458770 G524280:G524306 IP524280:IP524306 SL524280:SL524306 ACH524280:ACH524306 AMD524280:AMD524306 AVZ524280:AVZ524306 BFV524280:BFV524306 BPR524280:BPR524306 BZN524280:BZN524306 CJJ524280:CJJ524306 CTF524280:CTF524306 DDB524280:DDB524306 DMX524280:DMX524306 DWT524280:DWT524306 EGP524280:EGP524306 EQL524280:EQL524306 FAH524280:FAH524306 FKD524280:FKD524306 FTZ524280:FTZ524306 GDV524280:GDV524306 GNR524280:GNR524306 GXN524280:GXN524306 HHJ524280:HHJ524306 HRF524280:HRF524306 IBB524280:IBB524306 IKX524280:IKX524306 IUT524280:IUT524306 JEP524280:JEP524306 JOL524280:JOL524306 JYH524280:JYH524306 KID524280:KID524306 KRZ524280:KRZ524306 LBV524280:LBV524306 LLR524280:LLR524306 LVN524280:LVN524306 MFJ524280:MFJ524306 MPF524280:MPF524306 MZB524280:MZB524306 NIX524280:NIX524306 NST524280:NST524306 OCP524280:OCP524306 OML524280:OML524306 OWH524280:OWH524306 PGD524280:PGD524306 PPZ524280:PPZ524306 PZV524280:PZV524306 QJR524280:QJR524306 QTN524280:QTN524306 RDJ524280:RDJ524306 RNF524280:RNF524306 RXB524280:RXB524306 SGX524280:SGX524306 SQT524280:SQT524306 TAP524280:TAP524306 TKL524280:TKL524306 TUH524280:TUH524306 UED524280:UED524306 UNZ524280:UNZ524306 UXV524280:UXV524306 VHR524280:VHR524306 VRN524280:VRN524306 WBJ524280:WBJ524306 WLF524280:WLF524306 WVB524280:WVB524306 G589816:G589842 IP589816:IP589842 SL589816:SL589842 ACH589816:ACH589842 AMD589816:AMD589842 AVZ589816:AVZ589842 BFV589816:BFV589842 BPR589816:BPR589842 BZN589816:BZN589842 CJJ589816:CJJ589842 CTF589816:CTF589842 DDB589816:DDB589842 DMX589816:DMX589842 DWT589816:DWT589842 EGP589816:EGP589842 EQL589816:EQL589842 FAH589816:FAH589842 FKD589816:FKD589842 FTZ589816:FTZ589842 GDV589816:GDV589842 GNR589816:GNR589842 GXN589816:GXN589842 HHJ589816:HHJ589842 HRF589816:HRF589842 IBB589816:IBB589842 IKX589816:IKX589842 IUT589816:IUT589842 JEP589816:JEP589842 JOL589816:JOL589842 JYH589816:JYH589842 KID589816:KID589842 KRZ589816:KRZ589842 LBV589816:LBV589842 LLR589816:LLR589842 LVN589816:LVN589842 MFJ589816:MFJ589842 MPF589816:MPF589842 MZB589816:MZB589842 NIX589816:NIX589842 NST589816:NST589842 OCP589816:OCP589842 OML589816:OML589842 OWH589816:OWH589842 PGD589816:PGD589842 PPZ589816:PPZ589842 PZV589816:PZV589842 QJR589816:QJR589842 QTN589816:QTN589842 RDJ589816:RDJ589842 RNF589816:RNF589842 RXB589816:RXB589842 SGX589816:SGX589842 SQT589816:SQT589842 TAP589816:TAP589842 TKL589816:TKL589842 TUH589816:TUH589842 UED589816:UED589842 UNZ589816:UNZ589842 UXV589816:UXV589842 VHR589816:VHR589842 VRN589816:VRN589842 WBJ589816:WBJ589842 WLF589816:WLF589842 WVB589816:WVB589842 G655352:G655378 IP655352:IP655378 SL655352:SL655378 ACH655352:ACH655378 AMD655352:AMD655378 AVZ655352:AVZ655378 BFV655352:BFV655378 BPR655352:BPR655378 BZN655352:BZN655378 CJJ655352:CJJ655378 CTF655352:CTF655378 DDB655352:DDB655378 DMX655352:DMX655378 DWT655352:DWT655378 EGP655352:EGP655378 EQL655352:EQL655378 FAH655352:FAH655378 FKD655352:FKD655378 FTZ655352:FTZ655378 GDV655352:GDV655378 GNR655352:GNR655378 GXN655352:GXN655378 HHJ655352:HHJ655378 HRF655352:HRF655378 IBB655352:IBB655378 IKX655352:IKX655378 IUT655352:IUT655378 JEP655352:JEP655378 JOL655352:JOL655378 JYH655352:JYH655378 KID655352:KID655378 KRZ655352:KRZ655378 LBV655352:LBV655378 LLR655352:LLR655378 LVN655352:LVN655378 MFJ655352:MFJ655378 MPF655352:MPF655378 MZB655352:MZB655378 NIX655352:NIX655378 NST655352:NST655378 OCP655352:OCP655378 OML655352:OML655378 OWH655352:OWH655378 PGD655352:PGD655378 PPZ655352:PPZ655378 PZV655352:PZV655378 QJR655352:QJR655378 QTN655352:QTN655378 RDJ655352:RDJ655378 RNF655352:RNF655378 RXB655352:RXB655378 SGX655352:SGX655378 SQT655352:SQT655378 TAP655352:TAP655378 TKL655352:TKL655378 TUH655352:TUH655378 UED655352:UED655378 UNZ655352:UNZ655378 UXV655352:UXV655378 VHR655352:VHR655378 VRN655352:VRN655378 WBJ655352:WBJ655378 WLF655352:WLF655378 WVB655352:WVB655378 G720888:G720914 IP720888:IP720914 SL720888:SL720914 ACH720888:ACH720914 AMD720888:AMD720914 AVZ720888:AVZ720914 BFV720888:BFV720914 BPR720888:BPR720914 BZN720888:BZN720914 CJJ720888:CJJ720914 CTF720888:CTF720914 DDB720888:DDB720914 DMX720888:DMX720914 DWT720888:DWT720914 EGP720888:EGP720914 EQL720888:EQL720914 FAH720888:FAH720914 FKD720888:FKD720914 FTZ720888:FTZ720914 GDV720888:GDV720914 GNR720888:GNR720914 GXN720888:GXN720914 HHJ720888:HHJ720914 HRF720888:HRF720914 IBB720888:IBB720914 IKX720888:IKX720914 IUT720888:IUT720914 JEP720888:JEP720914 JOL720888:JOL720914 JYH720888:JYH720914 KID720888:KID720914 KRZ720888:KRZ720914 LBV720888:LBV720914 LLR720888:LLR720914 LVN720888:LVN720914 MFJ720888:MFJ720914 MPF720888:MPF720914 MZB720888:MZB720914 NIX720888:NIX720914 NST720888:NST720914 OCP720888:OCP720914 OML720888:OML720914 OWH720888:OWH720914 PGD720888:PGD720914 PPZ720888:PPZ720914 PZV720888:PZV720914 QJR720888:QJR720914 QTN720888:QTN720914 RDJ720888:RDJ720914 RNF720888:RNF720914 RXB720888:RXB720914 SGX720888:SGX720914 SQT720888:SQT720914 TAP720888:TAP720914 TKL720888:TKL720914 TUH720888:TUH720914 UED720888:UED720914 UNZ720888:UNZ720914 UXV720888:UXV720914 VHR720888:VHR720914 VRN720888:VRN720914 WBJ720888:WBJ720914 WLF720888:WLF720914 WVB720888:WVB720914 G786424:G786450 IP786424:IP786450 SL786424:SL786450 ACH786424:ACH786450 AMD786424:AMD786450 AVZ786424:AVZ786450 BFV786424:BFV786450 BPR786424:BPR786450 BZN786424:BZN786450 CJJ786424:CJJ786450 CTF786424:CTF786450 DDB786424:DDB786450 DMX786424:DMX786450 DWT786424:DWT786450 EGP786424:EGP786450 EQL786424:EQL786450 FAH786424:FAH786450 FKD786424:FKD786450 FTZ786424:FTZ786450 GDV786424:GDV786450 GNR786424:GNR786450 GXN786424:GXN786450 HHJ786424:HHJ786450 HRF786424:HRF786450 IBB786424:IBB786450 IKX786424:IKX786450 IUT786424:IUT786450 JEP786424:JEP786450 JOL786424:JOL786450 JYH786424:JYH786450 KID786424:KID786450 KRZ786424:KRZ786450 LBV786424:LBV786450 LLR786424:LLR786450 LVN786424:LVN786450 MFJ786424:MFJ786450 MPF786424:MPF786450 MZB786424:MZB786450 NIX786424:NIX786450 NST786424:NST786450 OCP786424:OCP786450 OML786424:OML786450 OWH786424:OWH786450 PGD786424:PGD786450 PPZ786424:PPZ786450 PZV786424:PZV786450 QJR786424:QJR786450 QTN786424:QTN786450 RDJ786424:RDJ786450 RNF786424:RNF786450 RXB786424:RXB786450 SGX786424:SGX786450 SQT786424:SQT786450 TAP786424:TAP786450 TKL786424:TKL786450 TUH786424:TUH786450 UED786424:UED786450 UNZ786424:UNZ786450 UXV786424:UXV786450 VHR786424:VHR786450 VRN786424:VRN786450 WBJ786424:WBJ786450 WLF786424:WLF786450 WVB786424:WVB786450 G851960:G851986 IP851960:IP851986 SL851960:SL851986 ACH851960:ACH851986 AMD851960:AMD851986 AVZ851960:AVZ851986 BFV851960:BFV851986 BPR851960:BPR851986 BZN851960:BZN851986 CJJ851960:CJJ851986 CTF851960:CTF851986 DDB851960:DDB851986 DMX851960:DMX851986 DWT851960:DWT851986 EGP851960:EGP851986 EQL851960:EQL851986 FAH851960:FAH851986 FKD851960:FKD851986 FTZ851960:FTZ851986 GDV851960:GDV851986 GNR851960:GNR851986 GXN851960:GXN851986 HHJ851960:HHJ851986 HRF851960:HRF851986 IBB851960:IBB851986 IKX851960:IKX851986 IUT851960:IUT851986 JEP851960:JEP851986 JOL851960:JOL851986 JYH851960:JYH851986 KID851960:KID851986 KRZ851960:KRZ851986 LBV851960:LBV851986 LLR851960:LLR851986 LVN851960:LVN851986 MFJ851960:MFJ851986 MPF851960:MPF851986 MZB851960:MZB851986 NIX851960:NIX851986 NST851960:NST851986 OCP851960:OCP851986 OML851960:OML851986 OWH851960:OWH851986 PGD851960:PGD851986 PPZ851960:PPZ851986 PZV851960:PZV851986 QJR851960:QJR851986 QTN851960:QTN851986 RDJ851960:RDJ851986 RNF851960:RNF851986 RXB851960:RXB851986 SGX851960:SGX851986 SQT851960:SQT851986 TAP851960:TAP851986 TKL851960:TKL851986 TUH851960:TUH851986 UED851960:UED851986 UNZ851960:UNZ851986 UXV851960:UXV851986 VHR851960:VHR851986 VRN851960:VRN851986 WBJ851960:WBJ851986 WLF851960:WLF851986 WVB851960:WVB851986 G917496:G917522 IP917496:IP917522 SL917496:SL917522 ACH917496:ACH917522 AMD917496:AMD917522 AVZ917496:AVZ917522 BFV917496:BFV917522 BPR917496:BPR917522 BZN917496:BZN917522 CJJ917496:CJJ917522 CTF917496:CTF917522 DDB917496:DDB917522 DMX917496:DMX917522 DWT917496:DWT917522 EGP917496:EGP917522 EQL917496:EQL917522 FAH917496:FAH917522 FKD917496:FKD917522 FTZ917496:FTZ917522 GDV917496:GDV917522 GNR917496:GNR917522 GXN917496:GXN917522 HHJ917496:HHJ917522 HRF917496:HRF917522 IBB917496:IBB917522 IKX917496:IKX917522 IUT917496:IUT917522 JEP917496:JEP917522 JOL917496:JOL917522 JYH917496:JYH917522 KID917496:KID917522 KRZ917496:KRZ917522 LBV917496:LBV917522 LLR917496:LLR917522 LVN917496:LVN917522 MFJ917496:MFJ917522 MPF917496:MPF917522 MZB917496:MZB917522 NIX917496:NIX917522 NST917496:NST917522 OCP917496:OCP917522 OML917496:OML917522 OWH917496:OWH917522 PGD917496:PGD917522 PPZ917496:PPZ917522 PZV917496:PZV917522 QJR917496:QJR917522 QTN917496:QTN917522 RDJ917496:RDJ917522 RNF917496:RNF917522 RXB917496:RXB917522 SGX917496:SGX917522 SQT917496:SQT917522 TAP917496:TAP917522 TKL917496:TKL917522 TUH917496:TUH917522 UED917496:UED917522 UNZ917496:UNZ917522 UXV917496:UXV917522 VHR917496:VHR917522 VRN917496:VRN917522 WBJ917496:WBJ917522 WLF917496:WLF917522 WVB917496:WVB917522 G983032:G983058 IP983032:IP983058 SL983032:SL983058 ACH983032:ACH983058 AMD983032:AMD983058 AVZ983032:AVZ983058 BFV983032:BFV983058 BPR983032:BPR983058 BZN983032:BZN983058 CJJ983032:CJJ983058 CTF983032:CTF983058 DDB983032:DDB983058 DMX983032:DMX983058 DWT983032:DWT983058 EGP983032:EGP983058 EQL983032:EQL983058 FAH983032:FAH983058 FKD983032:FKD983058 FTZ983032:FTZ983058 GDV983032:GDV983058 GNR983032:GNR983058 GXN983032:GXN983058 HHJ983032:HHJ983058 HRF983032:HRF983058 IBB983032:IBB983058 IKX983032:IKX983058 IUT983032:IUT983058 JEP983032:JEP983058 JOL983032:JOL983058 JYH983032:JYH983058 KID983032:KID983058 KRZ983032:KRZ983058 LBV983032:LBV983058 LLR983032:LLR983058 LVN983032:LVN983058 MFJ983032:MFJ983058 MPF983032:MPF983058 MZB983032:MZB983058 NIX983032:NIX983058 NST983032:NST983058 OCP983032:OCP983058 OML983032:OML983058 OWH983032:OWH983058 PGD983032:PGD983058 PPZ983032:PPZ983058 PZV983032:PZV983058 QJR983032:QJR983058 QTN983032:QTN983058 RDJ983032:RDJ983058 RNF983032:RNF983058 RXB983032:RXB983058 SGX983032:SGX983058 SQT983032:SQT983058 TAP983032:TAP983058 TKL983032:TKL983058 TUH983032:TUH983058 UED983032:UED983058 UNZ983032:UNZ983058 UXV983032:UXV983058 VHR983032:VHR983058 VRN983032:VRN983058 WBJ983032:WBJ983058 WLF983032:WLF983058 WVB983032:WVB983058 K65528:K65554 IT65528:IT65554 SP65528:SP65554 ACL65528:ACL65554 AMH65528:AMH65554 AWD65528:AWD65554 BFZ65528:BFZ65554 BPV65528:BPV65554 BZR65528:BZR65554 CJN65528:CJN65554 CTJ65528:CTJ65554 DDF65528:DDF65554 DNB65528:DNB65554 DWX65528:DWX65554 EGT65528:EGT65554 EQP65528:EQP65554 FAL65528:FAL65554 FKH65528:FKH65554 FUD65528:FUD65554 GDZ65528:GDZ65554 GNV65528:GNV65554 GXR65528:GXR65554 HHN65528:HHN65554 HRJ65528:HRJ65554 IBF65528:IBF65554 ILB65528:ILB65554 IUX65528:IUX65554 JET65528:JET65554 JOP65528:JOP65554 JYL65528:JYL65554 KIH65528:KIH65554 KSD65528:KSD65554 LBZ65528:LBZ65554 LLV65528:LLV65554 LVR65528:LVR65554 MFN65528:MFN65554 MPJ65528:MPJ65554 MZF65528:MZF65554 NJB65528:NJB65554 NSX65528:NSX65554 OCT65528:OCT65554 OMP65528:OMP65554 OWL65528:OWL65554 PGH65528:PGH65554 PQD65528:PQD65554 PZZ65528:PZZ65554 QJV65528:QJV65554 QTR65528:QTR65554 RDN65528:RDN65554 RNJ65528:RNJ65554 RXF65528:RXF65554 SHB65528:SHB65554 SQX65528:SQX65554 TAT65528:TAT65554 TKP65528:TKP65554 TUL65528:TUL65554 UEH65528:UEH65554 UOD65528:UOD65554 UXZ65528:UXZ65554 VHV65528:VHV65554 VRR65528:VRR65554 WBN65528:WBN65554 WLJ65528:WLJ65554 WVF65528:WVF65554 K131064:K131090 IT131064:IT131090 SP131064:SP131090 ACL131064:ACL131090 AMH131064:AMH131090 AWD131064:AWD131090 BFZ131064:BFZ131090 BPV131064:BPV131090 BZR131064:BZR131090 CJN131064:CJN131090 CTJ131064:CTJ131090 DDF131064:DDF131090 DNB131064:DNB131090 DWX131064:DWX131090 EGT131064:EGT131090 EQP131064:EQP131090 FAL131064:FAL131090 FKH131064:FKH131090 FUD131064:FUD131090 GDZ131064:GDZ131090 GNV131064:GNV131090 GXR131064:GXR131090 HHN131064:HHN131090 HRJ131064:HRJ131090 IBF131064:IBF131090 ILB131064:ILB131090 IUX131064:IUX131090 JET131064:JET131090 JOP131064:JOP131090 JYL131064:JYL131090 KIH131064:KIH131090 KSD131064:KSD131090 LBZ131064:LBZ131090 LLV131064:LLV131090 LVR131064:LVR131090 MFN131064:MFN131090 MPJ131064:MPJ131090 MZF131064:MZF131090 NJB131064:NJB131090 NSX131064:NSX131090 OCT131064:OCT131090 OMP131064:OMP131090 OWL131064:OWL131090 PGH131064:PGH131090 PQD131064:PQD131090 PZZ131064:PZZ131090 QJV131064:QJV131090 QTR131064:QTR131090 RDN131064:RDN131090 RNJ131064:RNJ131090 RXF131064:RXF131090 SHB131064:SHB131090 SQX131064:SQX131090 TAT131064:TAT131090 TKP131064:TKP131090 TUL131064:TUL131090 UEH131064:UEH131090 UOD131064:UOD131090 UXZ131064:UXZ131090 VHV131064:VHV131090 VRR131064:VRR131090 WBN131064:WBN131090 WLJ131064:WLJ131090 WVF131064:WVF131090 K196600:K196626 IT196600:IT196626 SP196600:SP196626 ACL196600:ACL196626 AMH196600:AMH196626 AWD196600:AWD196626 BFZ196600:BFZ196626 BPV196600:BPV196626 BZR196600:BZR196626 CJN196600:CJN196626 CTJ196600:CTJ196626 DDF196600:DDF196626 DNB196600:DNB196626 DWX196600:DWX196626 EGT196600:EGT196626 EQP196600:EQP196626 FAL196600:FAL196626 FKH196600:FKH196626 FUD196600:FUD196626 GDZ196600:GDZ196626 GNV196600:GNV196626 GXR196600:GXR196626 HHN196600:HHN196626 HRJ196600:HRJ196626 IBF196600:IBF196626 ILB196600:ILB196626 IUX196600:IUX196626 JET196600:JET196626 JOP196600:JOP196626 JYL196600:JYL196626 KIH196600:KIH196626 KSD196600:KSD196626 LBZ196600:LBZ196626 LLV196600:LLV196626 LVR196600:LVR196626 MFN196600:MFN196626 MPJ196600:MPJ196626 MZF196600:MZF196626 NJB196600:NJB196626 NSX196600:NSX196626 OCT196600:OCT196626 OMP196600:OMP196626 OWL196600:OWL196626 PGH196600:PGH196626 PQD196600:PQD196626 PZZ196600:PZZ196626 QJV196600:QJV196626 QTR196600:QTR196626 RDN196600:RDN196626 RNJ196600:RNJ196626 RXF196600:RXF196626 SHB196600:SHB196626 SQX196600:SQX196626 TAT196600:TAT196626 TKP196600:TKP196626 TUL196600:TUL196626 UEH196600:UEH196626 UOD196600:UOD196626 UXZ196600:UXZ196626 VHV196600:VHV196626 VRR196600:VRR196626 WBN196600:WBN196626 WLJ196600:WLJ196626 WVF196600:WVF196626 K262136:K262162 IT262136:IT262162 SP262136:SP262162 ACL262136:ACL262162 AMH262136:AMH262162 AWD262136:AWD262162 BFZ262136:BFZ262162 BPV262136:BPV262162 BZR262136:BZR262162 CJN262136:CJN262162 CTJ262136:CTJ262162 DDF262136:DDF262162 DNB262136:DNB262162 DWX262136:DWX262162 EGT262136:EGT262162 EQP262136:EQP262162 FAL262136:FAL262162 FKH262136:FKH262162 FUD262136:FUD262162 GDZ262136:GDZ262162 GNV262136:GNV262162 GXR262136:GXR262162 HHN262136:HHN262162 HRJ262136:HRJ262162 IBF262136:IBF262162 ILB262136:ILB262162 IUX262136:IUX262162 JET262136:JET262162 JOP262136:JOP262162 JYL262136:JYL262162 KIH262136:KIH262162 KSD262136:KSD262162 LBZ262136:LBZ262162 LLV262136:LLV262162 LVR262136:LVR262162 MFN262136:MFN262162 MPJ262136:MPJ262162 MZF262136:MZF262162 NJB262136:NJB262162 NSX262136:NSX262162 OCT262136:OCT262162 OMP262136:OMP262162 OWL262136:OWL262162 PGH262136:PGH262162 PQD262136:PQD262162 PZZ262136:PZZ262162 QJV262136:QJV262162 QTR262136:QTR262162 RDN262136:RDN262162 RNJ262136:RNJ262162 RXF262136:RXF262162 SHB262136:SHB262162 SQX262136:SQX262162 TAT262136:TAT262162 TKP262136:TKP262162 TUL262136:TUL262162 UEH262136:UEH262162 UOD262136:UOD262162 UXZ262136:UXZ262162 VHV262136:VHV262162 VRR262136:VRR262162 WBN262136:WBN262162 WLJ262136:WLJ262162 WVF262136:WVF262162 K327672:K327698 IT327672:IT327698 SP327672:SP327698 ACL327672:ACL327698 AMH327672:AMH327698 AWD327672:AWD327698 BFZ327672:BFZ327698 BPV327672:BPV327698 BZR327672:BZR327698 CJN327672:CJN327698 CTJ327672:CTJ327698 DDF327672:DDF327698 DNB327672:DNB327698 DWX327672:DWX327698 EGT327672:EGT327698 EQP327672:EQP327698 FAL327672:FAL327698 FKH327672:FKH327698 FUD327672:FUD327698 GDZ327672:GDZ327698 GNV327672:GNV327698 GXR327672:GXR327698 HHN327672:HHN327698 HRJ327672:HRJ327698 IBF327672:IBF327698 ILB327672:ILB327698 IUX327672:IUX327698 JET327672:JET327698 JOP327672:JOP327698 JYL327672:JYL327698 KIH327672:KIH327698 KSD327672:KSD327698 LBZ327672:LBZ327698 LLV327672:LLV327698 LVR327672:LVR327698 MFN327672:MFN327698 MPJ327672:MPJ327698 MZF327672:MZF327698 NJB327672:NJB327698 NSX327672:NSX327698 OCT327672:OCT327698 OMP327672:OMP327698 OWL327672:OWL327698 PGH327672:PGH327698 PQD327672:PQD327698 PZZ327672:PZZ327698 QJV327672:QJV327698 QTR327672:QTR327698 RDN327672:RDN327698 RNJ327672:RNJ327698 RXF327672:RXF327698 SHB327672:SHB327698 SQX327672:SQX327698 TAT327672:TAT327698 TKP327672:TKP327698 TUL327672:TUL327698 UEH327672:UEH327698 UOD327672:UOD327698 UXZ327672:UXZ327698 VHV327672:VHV327698 VRR327672:VRR327698 WBN327672:WBN327698 WLJ327672:WLJ327698 WVF327672:WVF327698 K393208:K393234 IT393208:IT393234 SP393208:SP393234 ACL393208:ACL393234 AMH393208:AMH393234 AWD393208:AWD393234 BFZ393208:BFZ393234 BPV393208:BPV393234 BZR393208:BZR393234 CJN393208:CJN393234 CTJ393208:CTJ393234 DDF393208:DDF393234 DNB393208:DNB393234 DWX393208:DWX393234 EGT393208:EGT393234 EQP393208:EQP393234 FAL393208:FAL393234 FKH393208:FKH393234 FUD393208:FUD393234 GDZ393208:GDZ393234 GNV393208:GNV393234 GXR393208:GXR393234 HHN393208:HHN393234 HRJ393208:HRJ393234 IBF393208:IBF393234 ILB393208:ILB393234 IUX393208:IUX393234 JET393208:JET393234 JOP393208:JOP393234 JYL393208:JYL393234 KIH393208:KIH393234 KSD393208:KSD393234 LBZ393208:LBZ393234 LLV393208:LLV393234 LVR393208:LVR393234 MFN393208:MFN393234 MPJ393208:MPJ393234 MZF393208:MZF393234 NJB393208:NJB393234 NSX393208:NSX393234 OCT393208:OCT393234 OMP393208:OMP393234 OWL393208:OWL393234 PGH393208:PGH393234 PQD393208:PQD393234 PZZ393208:PZZ393234 QJV393208:QJV393234 QTR393208:QTR393234 RDN393208:RDN393234 RNJ393208:RNJ393234 RXF393208:RXF393234 SHB393208:SHB393234 SQX393208:SQX393234 TAT393208:TAT393234 TKP393208:TKP393234 TUL393208:TUL393234 UEH393208:UEH393234 UOD393208:UOD393234 UXZ393208:UXZ393234 VHV393208:VHV393234 VRR393208:VRR393234 WBN393208:WBN393234 WLJ393208:WLJ393234 WVF393208:WVF393234 K458744:K458770 IT458744:IT458770 SP458744:SP458770 ACL458744:ACL458770 AMH458744:AMH458770 AWD458744:AWD458770 BFZ458744:BFZ458770 BPV458744:BPV458770 BZR458744:BZR458770 CJN458744:CJN458770 CTJ458744:CTJ458770 DDF458744:DDF458770 DNB458744:DNB458770 DWX458744:DWX458770 EGT458744:EGT458770 EQP458744:EQP458770 FAL458744:FAL458770 FKH458744:FKH458770 FUD458744:FUD458770 GDZ458744:GDZ458770 GNV458744:GNV458770 GXR458744:GXR458770 HHN458744:HHN458770 HRJ458744:HRJ458770 IBF458744:IBF458770 ILB458744:ILB458770 IUX458744:IUX458770 JET458744:JET458770 JOP458744:JOP458770 JYL458744:JYL458770 KIH458744:KIH458770 KSD458744:KSD458770 LBZ458744:LBZ458770 LLV458744:LLV458770 LVR458744:LVR458770 MFN458744:MFN458770 MPJ458744:MPJ458770 MZF458744:MZF458770 NJB458744:NJB458770 NSX458744:NSX458770 OCT458744:OCT458770 OMP458744:OMP458770 OWL458744:OWL458770 PGH458744:PGH458770 PQD458744:PQD458770 PZZ458744:PZZ458770 QJV458744:QJV458770 QTR458744:QTR458770 RDN458744:RDN458770 RNJ458744:RNJ458770 RXF458744:RXF458770 SHB458744:SHB458770 SQX458744:SQX458770 TAT458744:TAT458770 TKP458744:TKP458770 TUL458744:TUL458770 UEH458744:UEH458770 UOD458744:UOD458770 UXZ458744:UXZ458770 VHV458744:VHV458770 VRR458744:VRR458770 WBN458744:WBN458770 WLJ458744:WLJ458770 WVF458744:WVF458770 K524280:K524306 IT524280:IT524306 SP524280:SP524306 ACL524280:ACL524306 AMH524280:AMH524306 AWD524280:AWD524306 BFZ524280:BFZ524306 BPV524280:BPV524306 BZR524280:BZR524306 CJN524280:CJN524306 CTJ524280:CTJ524306 DDF524280:DDF524306 DNB524280:DNB524306 DWX524280:DWX524306 EGT524280:EGT524306 EQP524280:EQP524306 FAL524280:FAL524306 FKH524280:FKH524306 FUD524280:FUD524306 GDZ524280:GDZ524306 GNV524280:GNV524306 GXR524280:GXR524306 HHN524280:HHN524306 HRJ524280:HRJ524306 IBF524280:IBF524306 ILB524280:ILB524306 IUX524280:IUX524306 JET524280:JET524306 JOP524280:JOP524306 JYL524280:JYL524306 KIH524280:KIH524306 KSD524280:KSD524306 LBZ524280:LBZ524306 LLV524280:LLV524306 LVR524280:LVR524306 MFN524280:MFN524306 MPJ524280:MPJ524306 MZF524280:MZF524306 NJB524280:NJB524306 NSX524280:NSX524306 OCT524280:OCT524306 OMP524280:OMP524306 OWL524280:OWL524306 PGH524280:PGH524306 PQD524280:PQD524306 PZZ524280:PZZ524306 QJV524280:QJV524306 QTR524280:QTR524306 RDN524280:RDN524306 RNJ524280:RNJ524306 RXF524280:RXF524306 SHB524280:SHB524306 SQX524280:SQX524306 TAT524280:TAT524306 TKP524280:TKP524306 TUL524280:TUL524306 UEH524280:UEH524306 UOD524280:UOD524306 UXZ524280:UXZ524306 VHV524280:VHV524306 VRR524280:VRR524306 WBN524280:WBN524306 WLJ524280:WLJ524306 WVF524280:WVF524306 K589816:K589842 IT589816:IT589842 SP589816:SP589842 ACL589816:ACL589842 AMH589816:AMH589842 AWD589816:AWD589842 BFZ589816:BFZ589842 BPV589816:BPV589842 BZR589816:BZR589842 CJN589816:CJN589842 CTJ589816:CTJ589842 DDF589816:DDF589842 DNB589816:DNB589842 DWX589816:DWX589842 EGT589816:EGT589842 EQP589816:EQP589842 FAL589816:FAL589842 FKH589816:FKH589842 FUD589816:FUD589842 GDZ589816:GDZ589842 GNV589816:GNV589842 GXR589816:GXR589842 HHN589816:HHN589842 HRJ589816:HRJ589842 IBF589816:IBF589842 ILB589816:ILB589842 IUX589816:IUX589842 JET589816:JET589842 JOP589816:JOP589842 JYL589816:JYL589842 KIH589816:KIH589842 KSD589816:KSD589842 LBZ589816:LBZ589842 LLV589816:LLV589842 LVR589816:LVR589842 MFN589816:MFN589842 MPJ589816:MPJ589842 MZF589816:MZF589842 NJB589816:NJB589842 NSX589816:NSX589842 OCT589816:OCT589842 OMP589816:OMP589842 OWL589816:OWL589842 PGH589816:PGH589842 PQD589816:PQD589842 PZZ589816:PZZ589842 QJV589816:QJV589842 QTR589816:QTR589842 RDN589816:RDN589842 RNJ589816:RNJ589842 RXF589816:RXF589842 SHB589816:SHB589842 SQX589816:SQX589842 TAT589816:TAT589842 TKP589816:TKP589842 TUL589816:TUL589842 UEH589816:UEH589842 UOD589816:UOD589842 UXZ589816:UXZ589842 VHV589816:VHV589842 VRR589816:VRR589842 WBN589816:WBN589842 WLJ589816:WLJ589842 WVF589816:WVF589842 K655352:K655378 IT655352:IT655378 SP655352:SP655378 ACL655352:ACL655378 AMH655352:AMH655378 AWD655352:AWD655378 BFZ655352:BFZ655378 BPV655352:BPV655378 BZR655352:BZR655378 CJN655352:CJN655378 CTJ655352:CTJ655378 DDF655352:DDF655378 DNB655352:DNB655378 DWX655352:DWX655378 EGT655352:EGT655378 EQP655352:EQP655378 FAL655352:FAL655378 FKH655352:FKH655378 FUD655352:FUD655378 GDZ655352:GDZ655378 GNV655352:GNV655378 GXR655352:GXR655378 HHN655352:HHN655378 HRJ655352:HRJ655378 IBF655352:IBF655378 ILB655352:ILB655378 IUX655352:IUX655378 JET655352:JET655378 JOP655352:JOP655378 JYL655352:JYL655378 KIH655352:KIH655378 KSD655352:KSD655378 LBZ655352:LBZ655378 LLV655352:LLV655378 LVR655352:LVR655378 MFN655352:MFN655378 MPJ655352:MPJ655378 MZF655352:MZF655378 NJB655352:NJB655378 NSX655352:NSX655378 OCT655352:OCT655378 OMP655352:OMP655378 OWL655352:OWL655378 PGH655352:PGH655378 PQD655352:PQD655378 PZZ655352:PZZ655378 QJV655352:QJV655378 QTR655352:QTR655378 RDN655352:RDN655378 RNJ655352:RNJ655378 RXF655352:RXF655378 SHB655352:SHB655378 SQX655352:SQX655378 TAT655352:TAT655378 TKP655352:TKP655378 TUL655352:TUL655378 UEH655352:UEH655378 UOD655352:UOD655378 UXZ655352:UXZ655378 VHV655352:VHV655378 VRR655352:VRR655378 WBN655352:WBN655378 WLJ655352:WLJ655378 WVF655352:WVF655378 K720888:K720914 IT720888:IT720914 SP720888:SP720914 ACL720888:ACL720914 AMH720888:AMH720914 AWD720888:AWD720914 BFZ720888:BFZ720914 BPV720888:BPV720914 BZR720888:BZR720914 CJN720888:CJN720914 CTJ720888:CTJ720914 DDF720888:DDF720914 DNB720888:DNB720914 DWX720888:DWX720914 EGT720888:EGT720914 EQP720888:EQP720914 FAL720888:FAL720914 FKH720888:FKH720914 FUD720888:FUD720914 GDZ720888:GDZ720914 GNV720888:GNV720914 GXR720888:GXR720914 HHN720888:HHN720914 HRJ720888:HRJ720914 IBF720888:IBF720914 ILB720888:ILB720914 IUX720888:IUX720914 JET720888:JET720914 JOP720888:JOP720914 JYL720888:JYL720914 KIH720888:KIH720914 KSD720888:KSD720914 LBZ720888:LBZ720914 LLV720888:LLV720914 LVR720888:LVR720914 MFN720888:MFN720914 MPJ720888:MPJ720914 MZF720888:MZF720914 NJB720888:NJB720914 NSX720888:NSX720914 OCT720888:OCT720914 OMP720888:OMP720914 OWL720888:OWL720914 PGH720888:PGH720914 PQD720888:PQD720914 PZZ720888:PZZ720914 QJV720888:QJV720914 QTR720888:QTR720914 RDN720888:RDN720914 RNJ720888:RNJ720914 RXF720888:RXF720914 SHB720888:SHB720914 SQX720888:SQX720914 TAT720888:TAT720914 TKP720888:TKP720914 TUL720888:TUL720914 UEH720888:UEH720914 UOD720888:UOD720914 UXZ720888:UXZ720914 VHV720888:VHV720914 VRR720888:VRR720914 WBN720888:WBN720914 WLJ720888:WLJ720914 WVF720888:WVF720914 K786424:K786450 IT786424:IT786450 SP786424:SP786450 ACL786424:ACL786450 AMH786424:AMH786450 AWD786424:AWD786450 BFZ786424:BFZ786450 BPV786424:BPV786450 BZR786424:BZR786450 CJN786424:CJN786450 CTJ786424:CTJ786450 DDF786424:DDF786450 DNB786424:DNB786450 DWX786424:DWX786450 EGT786424:EGT786450 EQP786424:EQP786450 FAL786424:FAL786450 FKH786424:FKH786450 FUD786424:FUD786450 GDZ786424:GDZ786450 GNV786424:GNV786450 GXR786424:GXR786450 HHN786424:HHN786450 HRJ786424:HRJ786450 IBF786424:IBF786450 ILB786424:ILB786450 IUX786424:IUX786450 JET786424:JET786450 JOP786424:JOP786450 JYL786424:JYL786450 KIH786424:KIH786450 KSD786424:KSD786450 LBZ786424:LBZ786450 LLV786424:LLV786450 LVR786424:LVR786450 MFN786424:MFN786450 MPJ786424:MPJ786450 MZF786424:MZF786450 NJB786424:NJB786450 NSX786424:NSX786450 OCT786424:OCT786450 OMP786424:OMP786450 OWL786424:OWL786450 PGH786424:PGH786450 PQD786424:PQD786450 PZZ786424:PZZ786450 QJV786424:QJV786450 QTR786424:QTR786450 RDN786424:RDN786450 RNJ786424:RNJ786450 RXF786424:RXF786450 SHB786424:SHB786450 SQX786424:SQX786450 TAT786424:TAT786450 TKP786424:TKP786450 TUL786424:TUL786450 UEH786424:UEH786450 UOD786424:UOD786450 UXZ786424:UXZ786450 VHV786424:VHV786450 VRR786424:VRR786450 WBN786424:WBN786450 WLJ786424:WLJ786450 WVF786424:WVF786450 K851960:K851986 IT851960:IT851986 SP851960:SP851986 ACL851960:ACL851986 AMH851960:AMH851986 AWD851960:AWD851986 BFZ851960:BFZ851986 BPV851960:BPV851986 BZR851960:BZR851986 CJN851960:CJN851986 CTJ851960:CTJ851986 DDF851960:DDF851986 DNB851960:DNB851986 DWX851960:DWX851986 EGT851960:EGT851986 EQP851960:EQP851986 FAL851960:FAL851986 FKH851960:FKH851986 FUD851960:FUD851986 GDZ851960:GDZ851986 GNV851960:GNV851986 GXR851960:GXR851986 HHN851960:HHN851986 HRJ851960:HRJ851986 IBF851960:IBF851986 ILB851960:ILB851986 IUX851960:IUX851986 JET851960:JET851986 JOP851960:JOP851986 JYL851960:JYL851986 KIH851960:KIH851986 KSD851960:KSD851986 LBZ851960:LBZ851986 LLV851960:LLV851986 LVR851960:LVR851986 MFN851960:MFN851986 MPJ851960:MPJ851986 MZF851960:MZF851986 NJB851960:NJB851986 NSX851960:NSX851986 OCT851960:OCT851986 OMP851960:OMP851986 OWL851960:OWL851986 PGH851960:PGH851986 PQD851960:PQD851986 PZZ851960:PZZ851986 QJV851960:QJV851986 QTR851960:QTR851986 RDN851960:RDN851986 RNJ851960:RNJ851986 RXF851960:RXF851986 SHB851960:SHB851986 SQX851960:SQX851986 TAT851960:TAT851986 TKP851960:TKP851986 TUL851960:TUL851986 UEH851960:UEH851986 UOD851960:UOD851986 UXZ851960:UXZ851986 VHV851960:VHV851986 VRR851960:VRR851986 WBN851960:WBN851986 WLJ851960:WLJ851986 WVF851960:WVF851986 K917496:K917522 IT917496:IT917522 SP917496:SP917522 ACL917496:ACL917522 AMH917496:AMH917522 AWD917496:AWD917522 BFZ917496:BFZ917522 BPV917496:BPV917522 BZR917496:BZR917522 CJN917496:CJN917522 CTJ917496:CTJ917522 DDF917496:DDF917522 DNB917496:DNB917522 DWX917496:DWX917522 EGT917496:EGT917522 EQP917496:EQP917522 FAL917496:FAL917522 FKH917496:FKH917522 FUD917496:FUD917522 GDZ917496:GDZ917522 GNV917496:GNV917522 GXR917496:GXR917522 HHN917496:HHN917522 HRJ917496:HRJ917522 IBF917496:IBF917522 ILB917496:ILB917522 IUX917496:IUX917522 JET917496:JET917522 JOP917496:JOP917522 JYL917496:JYL917522 KIH917496:KIH917522 KSD917496:KSD917522 LBZ917496:LBZ917522 LLV917496:LLV917522 LVR917496:LVR917522 MFN917496:MFN917522 MPJ917496:MPJ917522 MZF917496:MZF917522 NJB917496:NJB917522 NSX917496:NSX917522 OCT917496:OCT917522 OMP917496:OMP917522 OWL917496:OWL917522 PGH917496:PGH917522 PQD917496:PQD917522 PZZ917496:PZZ917522 QJV917496:QJV917522 QTR917496:QTR917522 RDN917496:RDN917522 RNJ917496:RNJ917522 RXF917496:RXF917522 SHB917496:SHB917522 SQX917496:SQX917522 TAT917496:TAT917522 TKP917496:TKP917522 TUL917496:TUL917522 UEH917496:UEH917522 UOD917496:UOD917522 UXZ917496:UXZ917522 VHV917496:VHV917522 VRR917496:VRR917522 WBN917496:WBN917522 WLJ917496:WLJ917522 WVF917496:WVF917522 K983032:K983058 IT983032:IT983058 SP983032:SP983058 ACL983032:ACL983058 AMH983032:AMH983058 AWD983032:AWD983058 BFZ983032:BFZ983058 BPV983032:BPV983058 BZR983032:BZR983058 CJN983032:CJN983058 CTJ983032:CTJ983058 DDF983032:DDF983058 DNB983032:DNB983058 DWX983032:DWX983058 EGT983032:EGT983058 EQP983032:EQP983058 FAL983032:FAL983058 FKH983032:FKH983058 FUD983032:FUD983058 GDZ983032:GDZ983058 GNV983032:GNV983058 GXR983032:GXR983058 HHN983032:HHN983058 HRJ983032:HRJ983058 IBF983032:IBF983058 ILB983032:ILB983058 IUX983032:IUX983058 JET983032:JET983058 JOP983032:JOP983058 JYL983032:JYL983058 KIH983032:KIH983058 KSD983032:KSD983058 LBZ983032:LBZ983058 LLV983032:LLV983058 LVR983032:LVR983058 MFN983032:MFN983058 MPJ983032:MPJ983058 MZF983032:MZF983058 NJB983032:NJB983058 NSX983032:NSX983058 OCT983032:OCT983058 OMP983032:OMP983058 OWL983032:OWL983058 PGH983032:PGH983058 PQD983032:PQD983058 PZZ983032:PZZ983058 QJV983032:QJV983058 QTR983032:QTR983058 RDN983032:RDN983058 RNJ983032:RNJ983058 RXF983032:RXF983058 SHB983032:SHB983058 SQX983032:SQX983058 TAT983032:TAT983058 TKP983032:TKP983058 TUL983032:TUL983058 UEH983032:UEH983058 UOD983032:UOD983058 UXZ983032:UXZ983058 VHV983032:VHV983058 VRR983032:VRR983058 WBN983032:WBN983058 WLJ983032:WLJ983058 WVF983032:WVF983058 WVF8:WVF18 WLJ8:WLJ18 WBN8:WBN18 VRR8:VRR18 VHV8:VHV18 UXZ8:UXZ18 UOD8:UOD18 UEH8:UEH18 TUL8:TUL18 TKP8:TKP18 TAT8:TAT18 SQX8:SQX18 SHB8:SHB18 RXF8:RXF18 RNJ8:RNJ18 RDN8:RDN18 QTR8:QTR18 QJV8:QJV18 PZZ8:PZZ18 PQD8:PQD18 PGH8:PGH18 OWL8:OWL18 OMP8:OMP18 OCT8:OCT18 NSX8:NSX18 NJB8:NJB18 MZF8:MZF18 MPJ8:MPJ18 MFN8:MFN18 LVR8:LVR18 LLV8:LLV18 LBZ8:LBZ18 KSD8:KSD18 KIH8:KIH18 JYL8:JYL18 JOP8:JOP18 JET8:JET18 IUX8:IUX18 ILB8:ILB18 IBF8:IBF18 HRJ8:HRJ18 HHN8:HHN18 GXR8:GXR18 GNV8:GNV18 GDZ8:GDZ18 FUD8:FUD18 FKH8:FKH18 FAL8:FAL18 EQP8:EQP18 EGT8:EGT18 DWX8:DWX18 DNB8:DNB18 DDF8:DDF18 CTJ8:CTJ18 CJN8:CJN18 BZR8:BZR18 BPV8:BPV18 BFZ8:BFZ18 AWD8:AWD18 AMH8:AMH18 ACL8:ACL18 SP8:SP18 IT8:IT18 K8:K18 WVB8:WVB18 WLF8:WLF18 WBJ8:WBJ18 VRN8:VRN18 VHR8:VHR18 UXV8:UXV18 UNZ8:UNZ18 UED8:UED18 TUH8:TUH18 TKL8:TKL18 TAP8:TAP18 SQT8:SQT18 SGX8:SGX18 RXB8:RXB18 RNF8:RNF18 RDJ8:RDJ18 QTN8:QTN18 QJR8:QJR18 PZV8:PZV18 PPZ8:PPZ18 PGD8:PGD18 OWH8:OWH18 OML8:OML18 OCP8:OCP18 NST8:NST18 NIX8:NIX18 MZB8:MZB18 MPF8:MPF18 MFJ8:MFJ18 LVN8:LVN18 LLR8:LLR18 LBV8:LBV18 KRZ8:KRZ18 KID8:KID18 JYH8:JYH18 JOL8:JOL18 JEP8:JEP18 IUT8:IUT18 IKX8:IKX18 IBB8:IBB18 HRF8:HRF18 HHJ8:HHJ18 GXN8:GXN18 GNR8:GNR18 GDV8:GDV18 FTZ8:FTZ18 FKD8:FKD18 FAH8:FAH18 EQL8:EQL18 EGP8:EGP18 DWT8:DWT18 DMX8:DMX18 DDB8:DDB18 CTF8:CTF18 CJJ8:CJJ18 BZN8:BZN18 BPR8:BPR18 BFV8:BFV18 AVZ8:AVZ18 AMD8:AMD18 ACH8:ACH18 SL8:SL18 IP8:IP18 G8:G18" xr:uid="{BE0068ED-478F-42FC-A68A-12CA425699C8}">
      <formula1>0</formula1>
    </dataValidation>
    <dataValidation type="list" allowBlank="1" showInputMessage="1" showErrorMessage="1" sqref="WUZ983032:WUZ983058 E65528:E65554 IN65528:IN65554 SJ65528:SJ65554 ACF65528:ACF65554 AMB65528:AMB65554 AVX65528:AVX65554 BFT65528:BFT65554 BPP65528:BPP65554 BZL65528:BZL65554 CJH65528:CJH65554 CTD65528:CTD65554 DCZ65528:DCZ65554 DMV65528:DMV65554 DWR65528:DWR65554 EGN65528:EGN65554 EQJ65528:EQJ65554 FAF65528:FAF65554 FKB65528:FKB65554 FTX65528:FTX65554 GDT65528:GDT65554 GNP65528:GNP65554 GXL65528:GXL65554 HHH65528:HHH65554 HRD65528:HRD65554 IAZ65528:IAZ65554 IKV65528:IKV65554 IUR65528:IUR65554 JEN65528:JEN65554 JOJ65528:JOJ65554 JYF65528:JYF65554 KIB65528:KIB65554 KRX65528:KRX65554 LBT65528:LBT65554 LLP65528:LLP65554 LVL65528:LVL65554 MFH65528:MFH65554 MPD65528:MPD65554 MYZ65528:MYZ65554 NIV65528:NIV65554 NSR65528:NSR65554 OCN65528:OCN65554 OMJ65528:OMJ65554 OWF65528:OWF65554 PGB65528:PGB65554 PPX65528:PPX65554 PZT65528:PZT65554 QJP65528:QJP65554 QTL65528:QTL65554 RDH65528:RDH65554 RND65528:RND65554 RWZ65528:RWZ65554 SGV65528:SGV65554 SQR65528:SQR65554 TAN65528:TAN65554 TKJ65528:TKJ65554 TUF65528:TUF65554 UEB65528:UEB65554 UNX65528:UNX65554 UXT65528:UXT65554 VHP65528:VHP65554 VRL65528:VRL65554 WBH65528:WBH65554 WLD65528:WLD65554 WUZ65528:WUZ65554 E131064:E131090 IN131064:IN131090 SJ131064:SJ131090 ACF131064:ACF131090 AMB131064:AMB131090 AVX131064:AVX131090 BFT131064:BFT131090 BPP131064:BPP131090 BZL131064:BZL131090 CJH131064:CJH131090 CTD131064:CTD131090 DCZ131064:DCZ131090 DMV131064:DMV131090 DWR131064:DWR131090 EGN131064:EGN131090 EQJ131064:EQJ131090 FAF131064:FAF131090 FKB131064:FKB131090 FTX131064:FTX131090 GDT131064:GDT131090 GNP131064:GNP131090 GXL131064:GXL131090 HHH131064:HHH131090 HRD131064:HRD131090 IAZ131064:IAZ131090 IKV131064:IKV131090 IUR131064:IUR131090 JEN131064:JEN131090 JOJ131064:JOJ131090 JYF131064:JYF131090 KIB131064:KIB131090 KRX131064:KRX131090 LBT131064:LBT131090 LLP131064:LLP131090 LVL131064:LVL131090 MFH131064:MFH131090 MPD131064:MPD131090 MYZ131064:MYZ131090 NIV131064:NIV131090 NSR131064:NSR131090 OCN131064:OCN131090 OMJ131064:OMJ131090 OWF131064:OWF131090 PGB131064:PGB131090 PPX131064:PPX131090 PZT131064:PZT131090 QJP131064:QJP131090 QTL131064:QTL131090 RDH131064:RDH131090 RND131064:RND131090 RWZ131064:RWZ131090 SGV131064:SGV131090 SQR131064:SQR131090 TAN131064:TAN131090 TKJ131064:TKJ131090 TUF131064:TUF131090 UEB131064:UEB131090 UNX131064:UNX131090 UXT131064:UXT131090 VHP131064:VHP131090 VRL131064:VRL131090 WBH131064:WBH131090 WLD131064:WLD131090 WUZ131064:WUZ131090 E196600:E196626 IN196600:IN196626 SJ196600:SJ196626 ACF196600:ACF196626 AMB196600:AMB196626 AVX196600:AVX196626 BFT196600:BFT196626 BPP196600:BPP196626 BZL196600:BZL196626 CJH196600:CJH196626 CTD196600:CTD196626 DCZ196600:DCZ196626 DMV196600:DMV196626 DWR196600:DWR196626 EGN196600:EGN196626 EQJ196600:EQJ196626 FAF196600:FAF196626 FKB196600:FKB196626 FTX196600:FTX196626 GDT196600:GDT196626 GNP196600:GNP196626 GXL196600:GXL196626 HHH196600:HHH196626 HRD196600:HRD196626 IAZ196600:IAZ196626 IKV196600:IKV196626 IUR196600:IUR196626 JEN196600:JEN196626 JOJ196600:JOJ196626 JYF196600:JYF196626 KIB196600:KIB196626 KRX196600:KRX196626 LBT196600:LBT196626 LLP196600:LLP196626 LVL196600:LVL196626 MFH196600:MFH196626 MPD196600:MPD196626 MYZ196600:MYZ196626 NIV196600:NIV196626 NSR196600:NSR196626 OCN196600:OCN196626 OMJ196600:OMJ196626 OWF196600:OWF196626 PGB196600:PGB196626 PPX196600:PPX196626 PZT196600:PZT196626 QJP196600:QJP196626 QTL196600:QTL196626 RDH196600:RDH196626 RND196600:RND196626 RWZ196600:RWZ196626 SGV196600:SGV196626 SQR196600:SQR196626 TAN196600:TAN196626 TKJ196600:TKJ196626 TUF196600:TUF196626 UEB196600:UEB196626 UNX196600:UNX196626 UXT196600:UXT196626 VHP196600:VHP196626 VRL196600:VRL196626 WBH196600:WBH196626 WLD196600:WLD196626 WUZ196600:WUZ196626 E262136:E262162 IN262136:IN262162 SJ262136:SJ262162 ACF262136:ACF262162 AMB262136:AMB262162 AVX262136:AVX262162 BFT262136:BFT262162 BPP262136:BPP262162 BZL262136:BZL262162 CJH262136:CJH262162 CTD262136:CTD262162 DCZ262136:DCZ262162 DMV262136:DMV262162 DWR262136:DWR262162 EGN262136:EGN262162 EQJ262136:EQJ262162 FAF262136:FAF262162 FKB262136:FKB262162 FTX262136:FTX262162 GDT262136:GDT262162 GNP262136:GNP262162 GXL262136:GXL262162 HHH262136:HHH262162 HRD262136:HRD262162 IAZ262136:IAZ262162 IKV262136:IKV262162 IUR262136:IUR262162 JEN262136:JEN262162 JOJ262136:JOJ262162 JYF262136:JYF262162 KIB262136:KIB262162 KRX262136:KRX262162 LBT262136:LBT262162 LLP262136:LLP262162 LVL262136:LVL262162 MFH262136:MFH262162 MPD262136:MPD262162 MYZ262136:MYZ262162 NIV262136:NIV262162 NSR262136:NSR262162 OCN262136:OCN262162 OMJ262136:OMJ262162 OWF262136:OWF262162 PGB262136:PGB262162 PPX262136:PPX262162 PZT262136:PZT262162 QJP262136:QJP262162 QTL262136:QTL262162 RDH262136:RDH262162 RND262136:RND262162 RWZ262136:RWZ262162 SGV262136:SGV262162 SQR262136:SQR262162 TAN262136:TAN262162 TKJ262136:TKJ262162 TUF262136:TUF262162 UEB262136:UEB262162 UNX262136:UNX262162 UXT262136:UXT262162 VHP262136:VHP262162 VRL262136:VRL262162 WBH262136:WBH262162 WLD262136:WLD262162 WUZ262136:WUZ262162 E327672:E327698 IN327672:IN327698 SJ327672:SJ327698 ACF327672:ACF327698 AMB327672:AMB327698 AVX327672:AVX327698 BFT327672:BFT327698 BPP327672:BPP327698 BZL327672:BZL327698 CJH327672:CJH327698 CTD327672:CTD327698 DCZ327672:DCZ327698 DMV327672:DMV327698 DWR327672:DWR327698 EGN327672:EGN327698 EQJ327672:EQJ327698 FAF327672:FAF327698 FKB327672:FKB327698 FTX327672:FTX327698 GDT327672:GDT327698 GNP327672:GNP327698 GXL327672:GXL327698 HHH327672:HHH327698 HRD327672:HRD327698 IAZ327672:IAZ327698 IKV327672:IKV327698 IUR327672:IUR327698 JEN327672:JEN327698 JOJ327672:JOJ327698 JYF327672:JYF327698 KIB327672:KIB327698 KRX327672:KRX327698 LBT327672:LBT327698 LLP327672:LLP327698 LVL327672:LVL327698 MFH327672:MFH327698 MPD327672:MPD327698 MYZ327672:MYZ327698 NIV327672:NIV327698 NSR327672:NSR327698 OCN327672:OCN327698 OMJ327672:OMJ327698 OWF327672:OWF327698 PGB327672:PGB327698 PPX327672:PPX327698 PZT327672:PZT327698 QJP327672:QJP327698 QTL327672:QTL327698 RDH327672:RDH327698 RND327672:RND327698 RWZ327672:RWZ327698 SGV327672:SGV327698 SQR327672:SQR327698 TAN327672:TAN327698 TKJ327672:TKJ327698 TUF327672:TUF327698 UEB327672:UEB327698 UNX327672:UNX327698 UXT327672:UXT327698 VHP327672:VHP327698 VRL327672:VRL327698 WBH327672:WBH327698 WLD327672:WLD327698 WUZ327672:WUZ327698 E393208:E393234 IN393208:IN393234 SJ393208:SJ393234 ACF393208:ACF393234 AMB393208:AMB393234 AVX393208:AVX393234 BFT393208:BFT393234 BPP393208:BPP393234 BZL393208:BZL393234 CJH393208:CJH393234 CTD393208:CTD393234 DCZ393208:DCZ393234 DMV393208:DMV393234 DWR393208:DWR393234 EGN393208:EGN393234 EQJ393208:EQJ393234 FAF393208:FAF393234 FKB393208:FKB393234 FTX393208:FTX393234 GDT393208:GDT393234 GNP393208:GNP393234 GXL393208:GXL393234 HHH393208:HHH393234 HRD393208:HRD393234 IAZ393208:IAZ393234 IKV393208:IKV393234 IUR393208:IUR393234 JEN393208:JEN393234 JOJ393208:JOJ393234 JYF393208:JYF393234 KIB393208:KIB393234 KRX393208:KRX393234 LBT393208:LBT393234 LLP393208:LLP393234 LVL393208:LVL393234 MFH393208:MFH393234 MPD393208:MPD393234 MYZ393208:MYZ393234 NIV393208:NIV393234 NSR393208:NSR393234 OCN393208:OCN393234 OMJ393208:OMJ393234 OWF393208:OWF393234 PGB393208:PGB393234 PPX393208:PPX393234 PZT393208:PZT393234 QJP393208:QJP393234 QTL393208:QTL393234 RDH393208:RDH393234 RND393208:RND393234 RWZ393208:RWZ393234 SGV393208:SGV393234 SQR393208:SQR393234 TAN393208:TAN393234 TKJ393208:TKJ393234 TUF393208:TUF393234 UEB393208:UEB393234 UNX393208:UNX393234 UXT393208:UXT393234 VHP393208:VHP393234 VRL393208:VRL393234 WBH393208:WBH393234 WLD393208:WLD393234 WUZ393208:WUZ393234 E458744:E458770 IN458744:IN458770 SJ458744:SJ458770 ACF458744:ACF458770 AMB458744:AMB458770 AVX458744:AVX458770 BFT458744:BFT458770 BPP458744:BPP458770 BZL458744:BZL458770 CJH458744:CJH458770 CTD458744:CTD458770 DCZ458744:DCZ458770 DMV458744:DMV458770 DWR458744:DWR458770 EGN458744:EGN458770 EQJ458744:EQJ458770 FAF458744:FAF458770 FKB458744:FKB458770 FTX458744:FTX458770 GDT458744:GDT458770 GNP458744:GNP458770 GXL458744:GXL458770 HHH458744:HHH458770 HRD458744:HRD458770 IAZ458744:IAZ458770 IKV458744:IKV458770 IUR458744:IUR458770 JEN458744:JEN458770 JOJ458744:JOJ458770 JYF458744:JYF458770 KIB458744:KIB458770 KRX458744:KRX458770 LBT458744:LBT458770 LLP458744:LLP458770 LVL458744:LVL458770 MFH458744:MFH458770 MPD458744:MPD458770 MYZ458744:MYZ458770 NIV458744:NIV458770 NSR458744:NSR458770 OCN458744:OCN458770 OMJ458744:OMJ458770 OWF458744:OWF458770 PGB458744:PGB458770 PPX458744:PPX458770 PZT458744:PZT458770 QJP458744:QJP458770 QTL458744:QTL458770 RDH458744:RDH458770 RND458744:RND458770 RWZ458744:RWZ458770 SGV458744:SGV458770 SQR458744:SQR458770 TAN458744:TAN458770 TKJ458744:TKJ458770 TUF458744:TUF458770 UEB458744:UEB458770 UNX458744:UNX458770 UXT458744:UXT458770 VHP458744:VHP458770 VRL458744:VRL458770 WBH458744:WBH458770 WLD458744:WLD458770 WUZ458744:WUZ458770 E524280:E524306 IN524280:IN524306 SJ524280:SJ524306 ACF524280:ACF524306 AMB524280:AMB524306 AVX524280:AVX524306 BFT524280:BFT524306 BPP524280:BPP524306 BZL524280:BZL524306 CJH524280:CJH524306 CTD524280:CTD524306 DCZ524280:DCZ524306 DMV524280:DMV524306 DWR524280:DWR524306 EGN524280:EGN524306 EQJ524280:EQJ524306 FAF524280:FAF524306 FKB524280:FKB524306 FTX524280:FTX524306 GDT524280:GDT524306 GNP524280:GNP524306 GXL524280:GXL524306 HHH524280:HHH524306 HRD524280:HRD524306 IAZ524280:IAZ524306 IKV524280:IKV524306 IUR524280:IUR524306 JEN524280:JEN524306 JOJ524280:JOJ524306 JYF524280:JYF524306 KIB524280:KIB524306 KRX524280:KRX524306 LBT524280:LBT524306 LLP524280:LLP524306 LVL524280:LVL524306 MFH524280:MFH524306 MPD524280:MPD524306 MYZ524280:MYZ524306 NIV524280:NIV524306 NSR524280:NSR524306 OCN524280:OCN524306 OMJ524280:OMJ524306 OWF524280:OWF524306 PGB524280:PGB524306 PPX524280:PPX524306 PZT524280:PZT524306 QJP524280:QJP524306 QTL524280:QTL524306 RDH524280:RDH524306 RND524280:RND524306 RWZ524280:RWZ524306 SGV524280:SGV524306 SQR524280:SQR524306 TAN524280:TAN524306 TKJ524280:TKJ524306 TUF524280:TUF524306 UEB524280:UEB524306 UNX524280:UNX524306 UXT524280:UXT524306 VHP524280:VHP524306 VRL524280:VRL524306 WBH524280:WBH524306 WLD524280:WLD524306 WUZ524280:WUZ524306 E589816:E589842 IN589816:IN589842 SJ589816:SJ589842 ACF589816:ACF589842 AMB589816:AMB589842 AVX589816:AVX589842 BFT589816:BFT589842 BPP589816:BPP589842 BZL589816:BZL589842 CJH589816:CJH589842 CTD589816:CTD589842 DCZ589816:DCZ589842 DMV589816:DMV589842 DWR589816:DWR589842 EGN589816:EGN589842 EQJ589816:EQJ589842 FAF589816:FAF589842 FKB589816:FKB589842 FTX589816:FTX589842 GDT589816:GDT589842 GNP589816:GNP589842 GXL589816:GXL589842 HHH589816:HHH589842 HRD589816:HRD589842 IAZ589816:IAZ589842 IKV589816:IKV589842 IUR589816:IUR589842 JEN589816:JEN589842 JOJ589816:JOJ589842 JYF589816:JYF589842 KIB589816:KIB589842 KRX589816:KRX589842 LBT589816:LBT589842 LLP589816:LLP589842 LVL589816:LVL589842 MFH589816:MFH589842 MPD589816:MPD589842 MYZ589816:MYZ589842 NIV589816:NIV589842 NSR589816:NSR589842 OCN589816:OCN589842 OMJ589816:OMJ589842 OWF589816:OWF589842 PGB589816:PGB589842 PPX589816:PPX589842 PZT589816:PZT589842 QJP589816:QJP589842 QTL589816:QTL589842 RDH589816:RDH589842 RND589816:RND589842 RWZ589816:RWZ589842 SGV589816:SGV589842 SQR589816:SQR589842 TAN589816:TAN589842 TKJ589816:TKJ589842 TUF589816:TUF589842 UEB589816:UEB589842 UNX589816:UNX589842 UXT589816:UXT589842 VHP589816:VHP589842 VRL589816:VRL589842 WBH589816:WBH589842 WLD589816:WLD589842 WUZ589816:WUZ589842 E655352:E655378 IN655352:IN655378 SJ655352:SJ655378 ACF655352:ACF655378 AMB655352:AMB655378 AVX655352:AVX655378 BFT655352:BFT655378 BPP655352:BPP655378 BZL655352:BZL655378 CJH655352:CJH655378 CTD655352:CTD655378 DCZ655352:DCZ655378 DMV655352:DMV655378 DWR655352:DWR655378 EGN655352:EGN655378 EQJ655352:EQJ655378 FAF655352:FAF655378 FKB655352:FKB655378 FTX655352:FTX655378 GDT655352:GDT655378 GNP655352:GNP655378 GXL655352:GXL655378 HHH655352:HHH655378 HRD655352:HRD655378 IAZ655352:IAZ655378 IKV655352:IKV655378 IUR655352:IUR655378 JEN655352:JEN655378 JOJ655352:JOJ655378 JYF655352:JYF655378 KIB655352:KIB655378 KRX655352:KRX655378 LBT655352:LBT655378 LLP655352:LLP655378 LVL655352:LVL655378 MFH655352:MFH655378 MPD655352:MPD655378 MYZ655352:MYZ655378 NIV655352:NIV655378 NSR655352:NSR655378 OCN655352:OCN655378 OMJ655352:OMJ655378 OWF655352:OWF655378 PGB655352:PGB655378 PPX655352:PPX655378 PZT655352:PZT655378 QJP655352:QJP655378 QTL655352:QTL655378 RDH655352:RDH655378 RND655352:RND655378 RWZ655352:RWZ655378 SGV655352:SGV655378 SQR655352:SQR655378 TAN655352:TAN655378 TKJ655352:TKJ655378 TUF655352:TUF655378 UEB655352:UEB655378 UNX655352:UNX655378 UXT655352:UXT655378 VHP655352:VHP655378 VRL655352:VRL655378 WBH655352:WBH655378 WLD655352:WLD655378 WUZ655352:WUZ655378 E720888:E720914 IN720888:IN720914 SJ720888:SJ720914 ACF720888:ACF720914 AMB720888:AMB720914 AVX720888:AVX720914 BFT720888:BFT720914 BPP720888:BPP720914 BZL720888:BZL720914 CJH720888:CJH720914 CTD720888:CTD720914 DCZ720888:DCZ720914 DMV720888:DMV720914 DWR720888:DWR720914 EGN720888:EGN720914 EQJ720888:EQJ720914 FAF720888:FAF720914 FKB720888:FKB720914 FTX720888:FTX720914 GDT720888:GDT720914 GNP720888:GNP720914 GXL720888:GXL720914 HHH720888:HHH720914 HRD720888:HRD720914 IAZ720888:IAZ720914 IKV720888:IKV720914 IUR720888:IUR720914 JEN720888:JEN720914 JOJ720888:JOJ720914 JYF720888:JYF720914 KIB720888:KIB720914 KRX720888:KRX720914 LBT720888:LBT720914 LLP720888:LLP720914 LVL720888:LVL720914 MFH720888:MFH720914 MPD720888:MPD720914 MYZ720888:MYZ720914 NIV720888:NIV720914 NSR720888:NSR720914 OCN720888:OCN720914 OMJ720888:OMJ720914 OWF720888:OWF720914 PGB720888:PGB720914 PPX720888:PPX720914 PZT720888:PZT720914 QJP720888:QJP720914 QTL720888:QTL720914 RDH720888:RDH720914 RND720888:RND720914 RWZ720888:RWZ720914 SGV720888:SGV720914 SQR720888:SQR720914 TAN720888:TAN720914 TKJ720888:TKJ720914 TUF720888:TUF720914 UEB720888:UEB720914 UNX720888:UNX720914 UXT720888:UXT720914 VHP720888:VHP720914 VRL720888:VRL720914 WBH720888:WBH720914 WLD720888:WLD720914 WUZ720888:WUZ720914 E786424:E786450 IN786424:IN786450 SJ786424:SJ786450 ACF786424:ACF786450 AMB786424:AMB786450 AVX786424:AVX786450 BFT786424:BFT786450 BPP786424:BPP786450 BZL786424:BZL786450 CJH786424:CJH786450 CTD786424:CTD786450 DCZ786424:DCZ786450 DMV786424:DMV786450 DWR786424:DWR786450 EGN786424:EGN786450 EQJ786424:EQJ786450 FAF786424:FAF786450 FKB786424:FKB786450 FTX786424:FTX786450 GDT786424:GDT786450 GNP786424:GNP786450 GXL786424:GXL786450 HHH786424:HHH786450 HRD786424:HRD786450 IAZ786424:IAZ786450 IKV786424:IKV786450 IUR786424:IUR786450 JEN786424:JEN786450 JOJ786424:JOJ786450 JYF786424:JYF786450 KIB786424:KIB786450 KRX786424:KRX786450 LBT786424:LBT786450 LLP786424:LLP786450 LVL786424:LVL786450 MFH786424:MFH786450 MPD786424:MPD786450 MYZ786424:MYZ786450 NIV786424:NIV786450 NSR786424:NSR786450 OCN786424:OCN786450 OMJ786424:OMJ786450 OWF786424:OWF786450 PGB786424:PGB786450 PPX786424:PPX786450 PZT786424:PZT786450 QJP786424:QJP786450 QTL786424:QTL786450 RDH786424:RDH786450 RND786424:RND786450 RWZ786424:RWZ786450 SGV786424:SGV786450 SQR786424:SQR786450 TAN786424:TAN786450 TKJ786424:TKJ786450 TUF786424:TUF786450 UEB786424:UEB786450 UNX786424:UNX786450 UXT786424:UXT786450 VHP786424:VHP786450 VRL786424:VRL786450 WBH786424:WBH786450 WLD786424:WLD786450 WUZ786424:WUZ786450 E851960:E851986 IN851960:IN851986 SJ851960:SJ851986 ACF851960:ACF851986 AMB851960:AMB851986 AVX851960:AVX851986 BFT851960:BFT851986 BPP851960:BPP851986 BZL851960:BZL851986 CJH851960:CJH851986 CTD851960:CTD851986 DCZ851960:DCZ851986 DMV851960:DMV851986 DWR851960:DWR851986 EGN851960:EGN851986 EQJ851960:EQJ851986 FAF851960:FAF851986 FKB851960:FKB851986 FTX851960:FTX851986 GDT851960:GDT851986 GNP851960:GNP851986 GXL851960:GXL851986 HHH851960:HHH851986 HRD851960:HRD851986 IAZ851960:IAZ851986 IKV851960:IKV851986 IUR851960:IUR851986 JEN851960:JEN851986 JOJ851960:JOJ851986 JYF851960:JYF851986 KIB851960:KIB851986 KRX851960:KRX851986 LBT851960:LBT851986 LLP851960:LLP851986 LVL851960:LVL851986 MFH851960:MFH851986 MPD851960:MPD851986 MYZ851960:MYZ851986 NIV851960:NIV851986 NSR851960:NSR851986 OCN851960:OCN851986 OMJ851960:OMJ851986 OWF851960:OWF851986 PGB851960:PGB851986 PPX851960:PPX851986 PZT851960:PZT851986 QJP851960:QJP851986 QTL851960:QTL851986 RDH851960:RDH851986 RND851960:RND851986 RWZ851960:RWZ851986 SGV851960:SGV851986 SQR851960:SQR851986 TAN851960:TAN851986 TKJ851960:TKJ851986 TUF851960:TUF851986 UEB851960:UEB851986 UNX851960:UNX851986 UXT851960:UXT851986 VHP851960:VHP851986 VRL851960:VRL851986 WBH851960:WBH851986 WLD851960:WLD851986 WUZ851960:WUZ851986 E917496:E917522 IN917496:IN917522 SJ917496:SJ917522 ACF917496:ACF917522 AMB917496:AMB917522 AVX917496:AVX917522 BFT917496:BFT917522 BPP917496:BPP917522 BZL917496:BZL917522 CJH917496:CJH917522 CTD917496:CTD917522 DCZ917496:DCZ917522 DMV917496:DMV917522 DWR917496:DWR917522 EGN917496:EGN917522 EQJ917496:EQJ917522 FAF917496:FAF917522 FKB917496:FKB917522 FTX917496:FTX917522 GDT917496:GDT917522 GNP917496:GNP917522 GXL917496:GXL917522 HHH917496:HHH917522 HRD917496:HRD917522 IAZ917496:IAZ917522 IKV917496:IKV917522 IUR917496:IUR917522 JEN917496:JEN917522 JOJ917496:JOJ917522 JYF917496:JYF917522 KIB917496:KIB917522 KRX917496:KRX917522 LBT917496:LBT917522 LLP917496:LLP917522 LVL917496:LVL917522 MFH917496:MFH917522 MPD917496:MPD917522 MYZ917496:MYZ917522 NIV917496:NIV917522 NSR917496:NSR917522 OCN917496:OCN917522 OMJ917496:OMJ917522 OWF917496:OWF917522 PGB917496:PGB917522 PPX917496:PPX917522 PZT917496:PZT917522 QJP917496:QJP917522 QTL917496:QTL917522 RDH917496:RDH917522 RND917496:RND917522 RWZ917496:RWZ917522 SGV917496:SGV917522 SQR917496:SQR917522 TAN917496:TAN917522 TKJ917496:TKJ917522 TUF917496:TUF917522 UEB917496:UEB917522 UNX917496:UNX917522 UXT917496:UXT917522 VHP917496:VHP917522 VRL917496:VRL917522 WBH917496:WBH917522 WLD917496:WLD917522 WUZ917496:WUZ917522 E983032:E983058 IN983032:IN983058 SJ983032:SJ983058 ACF983032:ACF983058 AMB983032:AMB983058 AVX983032:AVX983058 BFT983032:BFT983058 BPP983032:BPP983058 BZL983032:BZL983058 CJH983032:CJH983058 CTD983032:CTD983058 DCZ983032:DCZ983058 DMV983032:DMV983058 DWR983032:DWR983058 EGN983032:EGN983058 EQJ983032:EQJ983058 FAF983032:FAF983058 FKB983032:FKB983058 FTX983032:FTX983058 GDT983032:GDT983058 GNP983032:GNP983058 GXL983032:GXL983058 HHH983032:HHH983058 HRD983032:HRD983058 IAZ983032:IAZ983058 IKV983032:IKV983058 IUR983032:IUR983058 JEN983032:JEN983058 JOJ983032:JOJ983058 JYF983032:JYF983058 KIB983032:KIB983058 KRX983032:KRX983058 LBT983032:LBT983058 LLP983032:LLP983058 LVL983032:LVL983058 MFH983032:MFH983058 MPD983032:MPD983058 MYZ983032:MYZ983058 NIV983032:NIV983058 NSR983032:NSR983058 OCN983032:OCN983058 OMJ983032:OMJ983058 OWF983032:OWF983058 PGB983032:PGB983058 PPX983032:PPX983058 PZT983032:PZT983058 QJP983032:QJP983058 QTL983032:QTL983058 RDH983032:RDH983058 RND983032:RND983058 RWZ983032:RWZ983058 SGV983032:SGV983058 SQR983032:SQR983058 TAN983032:TAN983058 TKJ983032:TKJ983058 TUF983032:TUF983058 UEB983032:UEB983058 UNX983032:UNX983058 UXT983032:UXT983058 VHP983032:VHP983058 VRL983032:VRL983058 WBH983032:WBH983058 WLD983032:WLD983058 WUZ8:WUZ18 WLD8:WLD18 WBH8:WBH18 VRL8:VRL18 VHP8:VHP18 UXT8:UXT18 UNX8:UNX18 UEB8:UEB18 TUF8:TUF18 TKJ8:TKJ18 TAN8:TAN18 SQR8:SQR18 SGV8:SGV18 RWZ8:RWZ18 RND8:RND18 RDH8:RDH18 QTL8:QTL18 QJP8:QJP18 PZT8:PZT18 PPX8:PPX18 PGB8:PGB18 OWF8:OWF18 OMJ8:OMJ18 OCN8:OCN18 NSR8:NSR18 NIV8:NIV18 MYZ8:MYZ18 MPD8:MPD18 MFH8:MFH18 LVL8:LVL18 LLP8:LLP18 LBT8:LBT18 KRX8:KRX18 KIB8:KIB18 JYF8:JYF18 JOJ8:JOJ18 JEN8:JEN18 IUR8:IUR18 IKV8:IKV18 IAZ8:IAZ18 HRD8:HRD18 HHH8:HHH18 GXL8:GXL18 GNP8:GNP18 GDT8:GDT18 FTX8:FTX18 FKB8:FKB18 FAF8:FAF18 EQJ8:EQJ18 EGN8:EGN18 DWR8:DWR18 DMV8:DMV18 DCZ8:DCZ18 CTD8:CTD18 CJH8:CJH18 BZL8:BZL18 BPP8:BPP18 BFT8:BFT18 AVX8:AVX18 AMB8:AMB18 ACF8:ACF18 SJ8:SJ18 IN8:IN18" xr:uid="{7E3B1462-5E1A-4E00-A256-3194E0881308}">
      <formula1>"Desenvolvimento, Infra-estrutura"</formula1>
    </dataValidation>
    <dataValidation type="list" allowBlank="1" showInputMessage="1" showErrorMessage="1" sqref="WUY983032:WUY983058 D65528:D65554 IM65528:IM65554 SI65528:SI65554 ACE65528:ACE65554 AMA65528:AMA65554 AVW65528:AVW65554 BFS65528:BFS65554 BPO65528:BPO65554 BZK65528:BZK65554 CJG65528:CJG65554 CTC65528:CTC65554 DCY65528:DCY65554 DMU65528:DMU65554 DWQ65528:DWQ65554 EGM65528:EGM65554 EQI65528:EQI65554 FAE65528:FAE65554 FKA65528:FKA65554 FTW65528:FTW65554 GDS65528:GDS65554 GNO65528:GNO65554 GXK65528:GXK65554 HHG65528:HHG65554 HRC65528:HRC65554 IAY65528:IAY65554 IKU65528:IKU65554 IUQ65528:IUQ65554 JEM65528:JEM65554 JOI65528:JOI65554 JYE65528:JYE65554 KIA65528:KIA65554 KRW65528:KRW65554 LBS65528:LBS65554 LLO65528:LLO65554 LVK65528:LVK65554 MFG65528:MFG65554 MPC65528:MPC65554 MYY65528:MYY65554 NIU65528:NIU65554 NSQ65528:NSQ65554 OCM65528:OCM65554 OMI65528:OMI65554 OWE65528:OWE65554 PGA65528:PGA65554 PPW65528:PPW65554 PZS65528:PZS65554 QJO65528:QJO65554 QTK65528:QTK65554 RDG65528:RDG65554 RNC65528:RNC65554 RWY65528:RWY65554 SGU65528:SGU65554 SQQ65528:SQQ65554 TAM65528:TAM65554 TKI65528:TKI65554 TUE65528:TUE65554 UEA65528:UEA65554 UNW65528:UNW65554 UXS65528:UXS65554 VHO65528:VHO65554 VRK65528:VRK65554 WBG65528:WBG65554 WLC65528:WLC65554 WUY65528:WUY65554 D131064:D131090 IM131064:IM131090 SI131064:SI131090 ACE131064:ACE131090 AMA131064:AMA131090 AVW131064:AVW131090 BFS131064:BFS131090 BPO131064:BPO131090 BZK131064:BZK131090 CJG131064:CJG131090 CTC131064:CTC131090 DCY131064:DCY131090 DMU131064:DMU131090 DWQ131064:DWQ131090 EGM131064:EGM131090 EQI131064:EQI131090 FAE131064:FAE131090 FKA131064:FKA131090 FTW131064:FTW131090 GDS131064:GDS131090 GNO131064:GNO131090 GXK131064:GXK131090 HHG131064:HHG131090 HRC131064:HRC131090 IAY131064:IAY131090 IKU131064:IKU131090 IUQ131064:IUQ131090 JEM131064:JEM131090 JOI131064:JOI131090 JYE131064:JYE131090 KIA131064:KIA131090 KRW131064:KRW131090 LBS131064:LBS131090 LLO131064:LLO131090 LVK131064:LVK131090 MFG131064:MFG131090 MPC131064:MPC131090 MYY131064:MYY131090 NIU131064:NIU131090 NSQ131064:NSQ131090 OCM131064:OCM131090 OMI131064:OMI131090 OWE131064:OWE131090 PGA131064:PGA131090 PPW131064:PPW131090 PZS131064:PZS131090 QJO131064:QJO131090 QTK131064:QTK131090 RDG131064:RDG131090 RNC131064:RNC131090 RWY131064:RWY131090 SGU131064:SGU131090 SQQ131064:SQQ131090 TAM131064:TAM131090 TKI131064:TKI131090 TUE131064:TUE131090 UEA131064:UEA131090 UNW131064:UNW131090 UXS131064:UXS131090 VHO131064:VHO131090 VRK131064:VRK131090 WBG131064:WBG131090 WLC131064:WLC131090 WUY131064:WUY131090 D196600:D196626 IM196600:IM196626 SI196600:SI196626 ACE196600:ACE196626 AMA196600:AMA196626 AVW196600:AVW196626 BFS196600:BFS196626 BPO196600:BPO196626 BZK196600:BZK196626 CJG196600:CJG196626 CTC196600:CTC196626 DCY196600:DCY196626 DMU196600:DMU196626 DWQ196600:DWQ196626 EGM196600:EGM196626 EQI196600:EQI196626 FAE196600:FAE196626 FKA196600:FKA196626 FTW196600:FTW196626 GDS196600:GDS196626 GNO196600:GNO196626 GXK196600:GXK196626 HHG196600:HHG196626 HRC196600:HRC196626 IAY196600:IAY196626 IKU196600:IKU196626 IUQ196600:IUQ196626 JEM196600:JEM196626 JOI196600:JOI196626 JYE196600:JYE196626 KIA196600:KIA196626 KRW196600:KRW196626 LBS196600:LBS196626 LLO196600:LLO196626 LVK196600:LVK196626 MFG196600:MFG196626 MPC196600:MPC196626 MYY196600:MYY196626 NIU196600:NIU196626 NSQ196600:NSQ196626 OCM196600:OCM196626 OMI196600:OMI196626 OWE196600:OWE196626 PGA196600:PGA196626 PPW196600:PPW196626 PZS196600:PZS196626 QJO196600:QJO196626 QTK196600:QTK196626 RDG196600:RDG196626 RNC196600:RNC196626 RWY196600:RWY196626 SGU196600:SGU196626 SQQ196600:SQQ196626 TAM196600:TAM196626 TKI196600:TKI196626 TUE196600:TUE196626 UEA196600:UEA196626 UNW196600:UNW196626 UXS196600:UXS196626 VHO196600:VHO196626 VRK196600:VRK196626 WBG196600:WBG196626 WLC196600:WLC196626 WUY196600:WUY196626 D262136:D262162 IM262136:IM262162 SI262136:SI262162 ACE262136:ACE262162 AMA262136:AMA262162 AVW262136:AVW262162 BFS262136:BFS262162 BPO262136:BPO262162 BZK262136:BZK262162 CJG262136:CJG262162 CTC262136:CTC262162 DCY262136:DCY262162 DMU262136:DMU262162 DWQ262136:DWQ262162 EGM262136:EGM262162 EQI262136:EQI262162 FAE262136:FAE262162 FKA262136:FKA262162 FTW262136:FTW262162 GDS262136:GDS262162 GNO262136:GNO262162 GXK262136:GXK262162 HHG262136:HHG262162 HRC262136:HRC262162 IAY262136:IAY262162 IKU262136:IKU262162 IUQ262136:IUQ262162 JEM262136:JEM262162 JOI262136:JOI262162 JYE262136:JYE262162 KIA262136:KIA262162 KRW262136:KRW262162 LBS262136:LBS262162 LLO262136:LLO262162 LVK262136:LVK262162 MFG262136:MFG262162 MPC262136:MPC262162 MYY262136:MYY262162 NIU262136:NIU262162 NSQ262136:NSQ262162 OCM262136:OCM262162 OMI262136:OMI262162 OWE262136:OWE262162 PGA262136:PGA262162 PPW262136:PPW262162 PZS262136:PZS262162 QJO262136:QJO262162 QTK262136:QTK262162 RDG262136:RDG262162 RNC262136:RNC262162 RWY262136:RWY262162 SGU262136:SGU262162 SQQ262136:SQQ262162 TAM262136:TAM262162 TKI262136:TKI262162 TUE262136:TUE262162 UEA262136:UEA262162 UNW262136:UNW262162 UXS262136:UXS262162 VHO262136:VHO262162 VRK262136:VRK262162 WBG262136:WBG262162 WLC262136:WLC262162 WUY262136:WUY262162 D327672:D327698 IM327672:IM327698 SI327672:SI327698 ACE327672:ACE327698 AMA327672:AMA327698 AVW327672:AVW327698 BFS327672:BFS327698 BPO327672:BPO327698 BZK327672:BZK327698 CJG327672:CJG327698 CTC327672:CTC327698 DCY327672:DCY327698 DMU327672:DMU327698 DWQ327672:DWQ327698 EGM327672:EGM327698 EQI327672:EQI327698 FAE327672:FAE327698 FKA327672:FKA327698 FTW327672:FTW327698 GDS327672:GDS327698 GNO327672:GNO327698 GXK327672:GXK327698 HHG327672:HHG327698 HRC327672:HRC327698 IAY327672:IAY327698 IKU327672:IKU327698 IUQ327672:IUQ327698 JEM327672:JEM327698 JOI327672:JOI327698 JYE327672:JYE327698 KIA327672:KIA327698 KRW327672:KRW327698 LBS327672:LBS327698 LLO327672:LLO327698 LVK327672:LVK327698 MFG327672:MFG327698 MPC327672:MPC327698 MYY327672:MYY327698 NIU327672:NIU327698 NSQ327672:NSQ327698 OCM327672:OCM327698 OMI327672:OMI327698 OWE327672:OWE327698 PGA327672:PGA327698 PPW327672:PPW327698 PZS327672:PZS327698 QJO327672:QJO327698 QTK327672:QTK327698 RDG327672:RDG327698 RNC327672:RNC327698 RWY327672:RWY327698 SGU327672:SGU327698 SQQ327672:SQQ327698 TAM327672:TAM327698 TKI327672:TKI327698 TUE327672:TUE327698 UEA327672:UEA327698 UNW327672:UNW327698 UXS327672:UXS327698 VHO327672:VHO327698 VRK327672:VRK327698 WBG327672:WBG327698 WLC327672:WLC327698 WUY327672:WUY327698 D393208:D393234 IM393208:IM393234 SI393208:SI393234 ACE393208:ACE393234 AMA393208:AMA393234 AVW393208:AVW393234 BFS393208:BFS393234 BPO393208:BPO393234 BZK393208:BZK393234 CJG393208:CJG393234 CTC393208:CTC393234 DCY393208:DCY393234 DMU393208:DMU393234 DWQ393208:DWQ393234 EGM393208:EGM393234 EQI393208:EQI393234 FAE393208:FAE393234 FKA393208:FKA393234 FTW393208:FTW393234 GDS393208:GDS393234 GNO393208:GNO393234 GXK393208:GXK393234 HHG393208:HHG393234 HRC393208:HRC393234 IAY393208:IAY393234 IKU393208:IKU393234 IUQ393208:IUQ393234 JEM393208:JEM393234 JOI393208:JOI393234 JYE393208:JYE393234 KIA393208:KIA393234 KRW393208:KRW393234 LBS393208:LBS393234 LLO393208:LLO393234 LVK393208:LVK393234 MFG393208:MFG393234 MPC393208:MPC393234 MYY393208:MYY393234 NIU393208:NIU393234 NSQ393208:NSQ393234 OCM393208:OCM393234 OMI393208:OMI393234 OWE393208:OWE393234 PGA393208:PGA393234 PPW393208:PPW393234 PZS393208:PZS393234 QJO393208:QJO393234 QTK393208:QTK393234 RDG393208:RDG393234 RNC393208:RNC393234 RWY393208:RWY393234 SGU393208:SGU393234 SQQ393208:SQQ393234 TAM393208:TAM393234 TKI393208:TKI393234 TUE393208:TUE393234 UEA393208:UEA393234 UNW393208:UNW393234 UXS393208:UXS393234 VHO393208:VHO393234 VRK393208:VRK393234 WBG393208:WBG393234 WLC393208:WLC393234 WUY393208:WUY393234 D458744:D458770 IM458744:IM458770 SI458744:SI458770 ACE458744:ACE458770 AMA458744:AMA458770 AVW458744:AVW458770 BFS458744:BFS458770 BPO458744:BPO458770 BZK458744:BZK458770 CJG458744:CJG458770 CTC458744:CTC458770 DCY458744:DCY458770 DMU458744:DMU458770 DWQ458744:DWQ458770 EGM458744:EGM458770 EQI458744:EQI458770 FAE458744:FAE458770 FKA458744:FKA458770 FTW458744:FTW458770 GDS458744:GDS458770 GNO458744:GNO458770 GXK458744:GXK458770 HHG458744:HHG458770 HRC458744:HRC458770 IAY458744:IAY458770 IKU458744:IKU458770 IUQ458744:IUQ458770 JEM458744:JEM458770 JOI458744:JOI458770 JYE458744:JYE458770 KIA458744:KIA458770 KRW458744:KRW458770 LBS458744:LBS458770 LLO458744:LLO458770 LVK458744:LVK458770 MFG458744:MFG458770 MPC458744:MPC458770 MYY458744:MYY458770 NIU458744:NIU458770 NSQ458744:NSQ458770 OCM458744:OCM458770 OMI458744:OMI458770 OWE458744:OWE458770 PGA458744:PGA458770 PPW458744:PPW458770 PZS458744:PZS458770 QJO458744:QJO458770 QTK458744:QTK458770 RDG458744:RDG458770 RNC458744:RNC458770 RWY458744:RWY458770 SGU458744:SGU458770 SQQ458744:SQQ458770 TAM458744:TAM458770 TKI458744:TKI458770 TUE458744:TUE458770 UEA458744:UEA458770 UNW458744:UNW458770 UXS458744:UXS458770 VHO458744:VHO458770 VRK458744:VRK458770 WBG458744:WBG458770 WLC458744:WLC458770 WUY458744:WUY458770 D524280:D524306 IM524280:IM524306 SI524280:SI524306 ACE524280:ACE524306 AMA524280:AMA524306 AVW524280:AVW524306 BFS524280:BFS524306 BPO524280:BPO524306 BZK524280:BZK524306 CJG524280:CJG524306 CTC524280:CTC524306 DCY524280:DCY524306 DMU524280:DMU524306 DWQ524280:DWQ524306 EGM524280:EGM524306 EQI524280:EQI524306 FAE524280:FAE524306 FKA524280:FKA524306 FTW524280:FTW524306 GDS524280:GDS524306 GNO524280:GNO524306 GXK524280:GXK524306 HHG524280:HHG524306 HRC524280:HRC524306 IAY524280:IAY524306 IKU524280:IKU524306 IUQ524280:IUQ524306 JEM524280:JEM524306 JOI524280:JOI524306 JYE524280:JYE524306 KIA524280:KIA524306 KRW524280:KRW524306 LBS524280:LBS524306 LLO524280:LLO524306 LVK524280:LVK524306 MFG524280:MFG524306 MPC524280:MPC524306 MYY524280:MYY524306 NIU524280:NIU524306 NSQ524280:NSQ524306 OCM524280:OCM524306 OMI524280:OMI524306 OWE524280:OWE524306 PGA524280:PGA524306 PPW524280:PPW524306 PZS524280:PZS524306 QJO524280:QJO524306 QTK524280:QTK524306 RDG524280:RDG524306 RNC524280:RNC524306 RWY524280:RWY524306 SGU524280:SGU524306 SQQ524280:SQQ524306 TAM524280:TAM524306 TKI524280:TKI524306 TUE524280:TUE524306 UEA524280:UEA524306 UNW524280:UNW524306 UXS524280:UXS524306 VHO524280:VHO524306 VRK524280:VRK524306 WBG524280:WBG524306 WLC524280:WLC524306 WUY524280:WUY524306 D589816:D589842 IM589816:IM589842 SI589816:SI589842 ACE589816:ACE589842 AMA589816:AMA589842 AVW589816:AVW589842 BFS589816:BFS589842 BPO589816:BPO589842 BZK589816:BZK589842 CJG589816:CJG589842 CTC589816:CTC589842 DCY589816:DCY589842 DMU589816:DMU589842 DWQ589816:DWQ589842 EGM589816:EGM589842 EQI589816:EQI589842 FAE589816:FAE589842 FKA589816:FKA589842 FTW589816:FTW589842 GDS589816:GDS589842 GNO589816:GNO589842 GXK589816:GXK589842 HHG589816:HHG589842 HRC589816:HRC589842 IAY589816:IAY589842 IKU589816:IKU589842 IUQ589816:IUQ589842 JEM589816:JEM589842 JOI589816:JOI589842 JYE589816:JYE589842 KIA589816:KIA589842 KRW589816:KRW589842 LBS589816:LBS589842 LLO589816:LLO589842 LVK589816:LVK589842 MFG589816:MFG589842 MPC589816:MPC589842 MYY589816:MYY589842 NIU589816:NIU589842 NSQ589816:NSQ589842 OCM589816:OCM589842 OMI589816:OMI589842 OWE589816:OWE589842 PGA589816:PGA589842 PPW589816:PPW589842 PZS589816:PZS589842 QJO589816:QJO589842 QTK589816:QTK589842 RDG589816:RDG589842 RNC589816:RNC589842 RWY589816:RWY589842 SGU589816:SGU589842 SQQ589816:SQQ589842 TAM589816:TAM589842 TKI589816:TKI589842 TUE589816:TUE589842 UEA589816:UEA589842 UNW589816:UNW589842 UXS589816:UXS589842 VHO589816:VHO589842 VRK589816:VRK589842 WBG589816:WBG589842 WLC589816:WLC589842 WUY589816:WUY589842 D655352:D655378 IM655352:IM655378 SI655352:SI655378 ACE655352:ACE655378 AMA655352:AMA655378 AVW655352:AVW655378 BFS655352:BFS655378 BPO655352:BPO655378 BZK655352:BZK655378 CJG655352:CJG655378 CTC655352:CTC655378 DCY655352:DCY655378 DMU655352:DMU655378 DWQ655352:DWQ655378 EGM655352:EGM655378 EQI655352:EQI655378 FAE655352:FAE655378 FKA655352:FKA655378 FTW655352:FTW655378 GDS655352:GDS655378 GNO655352:GNO655378 GXK655352:GXK655378 HHG655352:HHG655378 HRC655352:HRC655378 IAY655352:IAY655378 IKU655352:IKU655378 IUQ655352:IUQ655378 JEM655352:JEM655378 JOI655352:JOI655378 JYE655352:JYE655378 KIA655352:KIA655378 KRW655352:KRW655378 LBS655352:LBS655378 LLO655352:LLO655378 LVK655352:LVK655378 MFG655352:MFG655378 MPC655352:MPC655378 MYY655352:MYY655378 NIU655352:NIU655378 NSQ655352:NSQ655378 OCM655352:OCM655378 OMI655352:OMI655378 OWE655352:OWE655378 PGA655352:PGA655378 PPW655352:PPW655378 PZS655352:PZS655378 QJO655352:QJO655378 QTK655352:QTK655378 RDG655352:RDG655378 RNC655352:RNC655378 RWY655352:RWY655378 SGU655352:SGU655378 SQQ655352:SQQ655378 TAM655352:TAM655378 TKI655352:TKI655378 TUE655352:TUE655378 UEA655352:UEA655378 UNW655352:UNW655378 UXS655352:UXS655378 VHO655352:VHO655378 VRK655352:VRK655378 WBG655352:WBG655378 WLC655352:WLC655378 WUY655352:WUY655378 D720888:D720914 IM720888:IM720914 SI720888:SI720914 ACE720888:ACE720914 AMA720888:AMA720914 AVW720888:AVW720914 BFS720888:BFS720914 BPO720888:BPO720914 BZK720888:BZK720914 CJG720888:CJG720914 CTC720888:CTC720914 DCY720888:DCY720914 DMU720888:DMU720914 DWQ720888:DWQ720914 EGM720888:EGM720914 EQI720888:EQI720914 FAE720888:FAE720914 FKA720888:FKA720914 FTW720888:FTW720914 GDS720888:GDS720914 GNO720888:GNO720914 GXK720888:GXK720914 HHG720888:HHG720914 HRC720888:HRC720914 IAY720888:IAY720914 IKU720888:IKU720914 IUQ720888:IUQ720914 JEM720888:JEM720914 JOI720888:JOI720914 JYE720888:JYE720914 KIA720888:KIA720914 KRW720888:KRW720914 LBS720888:LBS720914 LLO720888:LLO720914 LVK720888:LVK720914 MFG720888:MFG720914 MPC720888:MPC720914 MYY720888:MYY720914 NIU720888:NIU720914 NSQ720888:NSQ720914 OCM720888:OCM720914 OMI720888:OMI720914 OWE720888:OWE720914 PGA720888:PGA720914 PPW720888:PPW720914 PZS720888:PZS720914 QJO720888:QJO720914 QTK720888:QTK720914 RDG720888:RDG720914 RNC720888:RNC720914 RWY720888:RWY720914 SGU720888:SGU720914 SQQ720888:SQQ720914 TAM720888:TAM720914 TKI720888:TKI720914 TUE720888:TUE720914 UEA720888:UEA720914 UNW720888:UNW720914 UXS720888:UXS720914 VHO720888:VHO720914 VRK720888:VRK720914 WBG720888:WBG720914 WLC720888:WLC720914 WUY720888:WUY720914 D786424:D786450 IM786424:IM786450 SI786424:SI786450 ACE786424:ACE786450 AMA786424:AMA786450 AVW786424:AVW786450 BFS786424:BFS786450 BPO786424:BPO786450 BZK786424:BZK786450 CJG786424:CJG786450 CTC786424:CTC786450 DCY786424:DCY786450 DMU786424:DMU786450 DWQ786424:DWQ786450 EGM786424:EGM786450 EQI786424:EQI786450 FAE786424:FAE786450 FKA786424:FKA786450 FTW786424:FTW786450 GDS786424:GDS786450 GNO786424:GNO786450 GXK786424:GXK786450 HHG786424:HHG786450 HRC786424:HRC786450 IAY786424:IAY786450 IKU786424:IKU786450 IUQ786424:IUQ786450 JEM786424:JEM786450 JOI786424:JOI786450 JYE786424:JYE786450 KIA786424:KIA786450 KRW786424:KRW786450 LBS786424:LBS786450 LLO786424:LLO786450 LVK786424:LVK786450 MFG786424:MFG786450 MPC786424:MPC786450 MYY786424:MYY786450 NIU786424:NIU786450 NSQ786424:NSQ786450 OCM786424:OCM786450 OMI786424:OMI786450 OWE786424:OWE786450 PGA786424:PGA786450 PPW786424:PPW786450 PZS786424:PZS786450 QJO786424:QJO786450 QTK786424:QTK786450 RDG786424:RDG786450 RNC786424:RNC786450 RWY786424:RWY786450 SGU786424:SGU786450 SQQ786424:SQQ786450 TAM786424:TAM786450 TKI786424:TKI786450 TUE786424:TUE786450 UEA786424:UEA786450 UNW786424:UNW786450 UXS786424:UXS786450 VHO786424:VHO786450 VRK786424:VRK786450 WBG786424:WBG786450 WLC786424:WLC786450 WUY786424:WUY786450 D851960:D851986 IM851960:IM851986 SI851960:SI851986 ACE851960:ACE851986 AMA851960:AMA851986 AVW851960:AVW851986 BFS851960:BFS851986 BPO851960:BPO851986 BZK851960:BZK851986 CJG851960:CJG851986 CTC851960:CTC851986 DCY851960:DCY851986 DMU851960:DMU851986 DWQ851960:DWQ851986 EGM851960:EGM851986 EQI851960:EQI851986 FAE851960:FAE851986 FKA851960:FKA851986 FTW851960:FTW851986 GDS851960:GDS851986 GNO851960:GNO851986 GXK851960:GXK851986 HHG851960:HHG851986 HRC851960:HRC851986 IAY851960:IAY851986 IKU851960:IKU851986 IUQ851960:IUQ851986 JEM851960:JEM851986 JOI851960:JOI851986 JYE851960:JYE851986 KIA851960:KIA851986 KRW851960:KRW851986 LBS851960:LBS851986 LLO851960:LLO851986 LVK851960:LVK851986 MFG851960:MFG851986 MPC851960:MPC851986 MYY851960:MYY851986 NIU851960:NIU851986 NSQ851960:NSQ851986 OCM851960:OCM851986 OMI851960:OMI851986 OWE851960:OWE851986 PGA851960:PGA851986 PPW851960:PPW851986 PZS851960:PZS851986 QJO851960:QJO851986 QTK851960:QTK851986 RDG851960:RDG851986 RNC851960:RNC851986 RWY851960:RWY851986 SGU851960:SGU851986 SQQ851960:SQQ851986 TAM851960:TAM851986 TKI851960:TKI851986 TUE851960:TUE851986 UEA851960:UEA851986 UNW851960:UNW851986 UXS851960:UXS851986 VHO851960:VHO851986 VRK851960:VRK851986 WBG851960:WBG851986 WLC851960:WLC851986 WUY851960:WUY851986 D917496:D917522 IM917496:IM917522 SI917496:SI917522 ACE917496:ACE917522 AMA917496:AMA917522 AVW917496:AVW917522 BFS917496:BFS917522 BPO917496:BPO917522 BZK917496:BZK917522 CJG917496:CJG917522 CTC917496:CTC917522 DCY917496:DCY917522 DMU917496:DMU917522 DWQ917496:DWQ917522 EGM917496:EGM917522 EQI917496:EQI917522 FAE917496:FAE917522 FKA917496:FKA917522 FTW917496:FTW917522 GDS917496:GDS917522 GNO917496:GNO917522 GXK917496:GXK917522 HHG917496:HHG917522 HRC917496:HRC917522 IAY917496:IAY917522 IKU917496:IKU917522 IUQ917496:IUQ917522 JEM917496:JEM917522 JOI917496:JOI917522 JYE917496:JYE917522 KIA917496:KIA917522 KRW917496:KRW917522 LBS917496:LBS917522 LLO917496:LLO917522 LVK917496:LVK917522 MFG917496:MFG917522 MPC917496:MPC917522 MYY917496:MYY917522 NIU917496:NIU917522 NSQ917496:NSQ917522 OCM917496:OCM917522 OMI917496:OMI917522 OWE917496:OWE917522 PGA917496:PGA917522 PPW917496:PPW917522 PZS917496:PZS917522 QJO917496:QJO917522 QTK917496:QTK917522 RDG917496:RDG917522 RNC917496:RNC917522 RWY917496:RWY917522 SGU917496:SGU917522 SQQ917496:SQQ917522 TAM917496:TAM917522 TKI917496:TKI917522 TUE917496:TUE917522 UEA917496:UEA917522 UNW917496:UNW917522 UXS917496:UXS917522 VHO917496:VHO917522 VRK917496:VRK917522 WBG917496:WBG917522 WLC917496:WLC917522 WUY917496:WUY917522 D983032:D983058 IM983032:IM983058 SI983032:SI983058 ACE983032:ACE983058 AMA983032:AMA983058 AVW983032:AVW983058 BFS983032:BFS983058 BPO983032:BPO983058 BZK983032:BZK983058 CJG983032:CJG983058 CTC983032:CTC983058 DCY983032:DCY983058 DMU983032:DMU983058 DWQ983032:DWQ983058 EGM983032:EGM983058 EQI983032:EQI983058 FAE983032:FAE983058 FKA983032:FKA983058 FTW983032:FTW983058 GDS983032:GDS983058 GNO983032:GNO983058 GXK983032:GXK983058 HHG983032:HHG983058 HRC983032:HRC983058 IAY983032:IAY983058 IKU983032:IKU983058 IUQ983032:IUQ983058 JEM983032:JEM983058 JOI983032:JOI983058 JYE983032:JYE983058 KIA983032:KIA983058 KRW983032:KRW983058 LBS983032:LBS983058 LLO983032:LLO983058 LVK983032:LVK983058 MFG983032:MFG983058 MPC983032:MPC983058 MYY983032:MYY983058 NIU983032:NIU983058 NSQ983032:NSQ983058 OCM983032:OCM983058 OMI983032:OMI983058 OWE983032:OWE983058 PGA983032:PGA983058 PPW983032:PPW983058 PZS983032:PZS983058 QJO983032:QJO983058 QTK983032:QTK983058 RDG983032:RDG983058 RNC983032:RNC983058 RWY983032:RWY983058 SGU983032:SGU983058 SQQ983032:SQQ983058 TAM983032:TAM983058 TKI983032:TKI983058 TUE983032:TUE983058 UEA983032:UEA983058 UNW983032:UNW983058 UXS983032:UXS983058 VHO983032:VHO983058 VRK983032:VRK983058 WBG983032:WBG983058 WLC983032:WLC983058 IM8:IM18 WUY8:WUY18 WLC8:WLC18 WBG8:WBG18 VRK8:VRK18 VHO8:VHO18 UXS8:UXS18 UNW8:UNW18 UEA8:UEA18 TUE8:TUE18 TKI8:TKI18 TAM8:TAM18 SQQ8:SQQ18 SGU8:SGU18 RWY8:RWY18 RNC8:RNC18 RDG8:RDG18 QTK8:QTK18 QJO8:QJO18 PZS8:PZS18 PPW8:PPW18 PGA8:PGA18 OWE8:OWE18 OMI8:OMI18 OCM8:OCM18 NSQ8:NSQ18 NIU8:NIU18 MYY8:MYY18 MPC8:MPC18 MFG8:MFG18 LVK8:LVK18 LLO8:LLO18 LBS8:LBS18 KRW8:KRW18 KIA8:KIA18 JYE8:JYE18 JOI8:JOI18 JEM8:JEM18 IUQ8:IUQ18 IKU8:IKU18 IAY8:IAY18 HRC8:HRC18 HHG8:HHG18 GXK8:GXK18 GNO8:GNO18 GDS8:GDS18 FTW8:FTW18 FKA8:FKA18 FAE8:FAE18 EQI8:EQI18 EGM8:EGM18 DWQ8:DWQ18 DMU8:DMU18 DCY8:DCY18 CTC8:CTC18 CJG8:CJG18 BZK8:BZK18 BPO8:BPO18 BFS8:BFS18 AVW8:AVW18 AMA8:AMA18 ACE8:ACE18 SI8:SI18" xr:uid="{E05D3D97-6DB6-42D9-86BB-A8594F617D49}">
      <formula1>"Investimento, Despesa"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787F72-B786-4718-94F8-79DAB292AADC}">
  <dimension ref="B2:S23"/>
  <sheetViews>
    <sheetView showGridLines="0" topLeftCell="B1" workbookViewId="0">
      <pane xSplit="4" topLeftCell="K1" activePane="topRight" state="frozen"/>
      <selection activeCell="D25" sqref="D25"/>
      <selection pane="topRight" activeCell="D25" sqref="D25"/>
    </sheetView>
  </sheetViews>
  <sheetFormatPr defaultColWidth="9.109375" defaultRowHeight="13.2" x14ac:dyDescent="0.25"/>
  <cols>
    <col min="1" max="1" width="1.33203125" style="46" customWidth="1"/>
    <col min="2" max="2" width="5" style="46" bestFit="1" customWidth="1"/>
    <col min="3" max="3" width="49" style="46" bestFit="1" customWidth="1"/>
    <col min="4" max="4" width="12.5546875" style="46" bestFit="1" customWidth="1"/>
    <col min="5" max="5" width="19.6640625" style="46" bestFit="1" customWidth="1"/>
    <col min="6" max="6" width="24.5546875" style="46" bestFit="1" customWidth="1"/>
    <col min="7" max="7" width="31.88671875" style="46" bestFit="1" customWidth="1"/>
    <col min="8" max="8" width="32" style="46" bestFit="1" customWidth="1"/>
    <col min="9" max="9" width="14" style="46" bestFit="1" customWidth="1"/>
    <col min="10" max="10" width="12.6640625" style="46" bestFit="1" customWidth="1"/>
    <col min="11" max="12" width="13.33203125" style="46" bestFit="1" customWidth="1"/>
    <col min="13" max="14" width="15.5546875" style="46" bestFit="1" customWidth="1"/>
    <col min="15" max="15" width="7.6640625" style="46" bestFit="1" customWidth="1"/>
    <col min="16" max="16" width="8.109375" style="46" bestFit="1" customWidth="1"/>
    <col min="17" max="17" width="15.5546875" style="46" bestFit="1" customWidth="1"/>
    <col min="18" max="18" width="11.109375" style="46" bestFit="1" customWidth="1"/>
    <col min="19" max="19" width="8.33203125" style="46" bestFit="1" customWidth="1"/>
    <col min="20" max="16384" width="9.109375" style="46"/>
  </cols>
  <sheetData>
    <row r="2" spans="2:19" ht="17.399999999999999" x14ac:dyDescent="0.25">
      <c r="C2" s="103" t="s">
        <v>178</v>
      </c>
      <c r="D2" s="103"/>
      <c r="E2" s="102"/>
      <c r="F2" s="101"/>
      <c r="G2" s="100" t="s">
        <v>177</v>
      </c>
      <c r="H2" s="99"/>
      <c r="I2" s="98" t="s">
        <v>176</v>
      </c>
      <c r="J2" s="97"/>
      <c r="K2" s="96" t="s">
        <v>175</v>
      </c>
      <c r="L2" s="95" t="s">
        <v>174</v>
      </c>
      <c r="M2" s="94"/>
      <c r="N2" s="93"/>
      <c r="O2" s="92"/>
      <c r="P2" s="91"/>
      <c r="Q2" s="90"/>
    </row>
    <row r="4" spans="2:19" ht="18" thickBot="1" x14ac:dyDescent="0.3">
      <c r="C4" s="89" t="s">
        <v>173</v>
      </c>
      <c r="D4" s="88" t="s">
        <v>172</v>
      </c>
      <c r="E4" s="88"/>
      <c r="F4" s="88"/>
      <c r="G4" s="88"/>
      <c r="H4" s="88"/>
      <c r="I4" s="88"/>
      <c r="J4" s="87"/>
      <c r="K4" s="86" t="s">
        <v>171</v>
      </c>
      <c r="L4" s="85"/>
      <c r="M4" s="84"/>
      <c r="N4" s="83">
        <v>200000</v>
      </c>
      <c r="O4" s="82"/>
      <c r="P4" s="81" t="s">
        <v>170</v>
      </c>
      <c r="Q4" s="79">
        <v>45689</v>
      </c>
      <c r="R4" s="80" t="s">
        <v>169</v>
      </c>
      <c r="S4" s="79">
        <v>45778</v>
      </c>
    </row>
    <row r="5" spans="2:19" ht="13.8" thickBot="1" x14ac:dyDescent="0.3">
      <c r="B5" s="78"/>
      <c r="C5" s="77"/>
      <c r="D5" s="77"/>
      <c r="E5" s="77"/>
      <c r="F5" s="77"/>
      <c r="G5" s="77"/>
      <c r="H5" s="77"/>
      <c r="I5" s="77"/>
      <c r="J5" s="77"/>
      <c r="K5" s="77"/>
      <c r="L5" s="77"/>
      <c r="M5" s="76"/>
      <c r="N5" s="76"/>
      <c r="O5" s="76"/>
      <c r="P5" s="76"/>
      <c r="Q5" s="75"/>
    </row>
    <row r="6" spans="2:19" ht="40.200000000000003" thickBot="1" x14ac:dyDescent="0.3">
      <c r="B6" s="74" t="s">
        <v>168</v>
      </c>
      <c r="C6" s="72" t="s">
        <v>0</v>
      </c>
      <c r="D6" s="73" t="s">
        <v>167</v>
      </c>
      <c r="E6" s="73" t="s">
        <v>166</v>
      </c>
      <c r="F6" s="72" t="s">
        <v>165</v>
      </c>
      <c r="G6" s="71" t="s">
        <v>164</v>
      </c>
      <c r="H6" s="71" t="s">
        <v>163</v>
      </c>
      <c r="I6" s="70" t="s">
        <v>162</v>
      </c>
      <c r="J6" s="70" t="s">
        <v>161</v>
      </c>
      <c r="K6" s="69" t="s">
        <v>160</v>
      </c>
      <c r="L6" s="68" t="s">
        <v>159</v>
      </c>
      <c r="M6" s="67">
        <v>45689</v>
      </c>
      <c r="N6" s="67">
        <v>45717</v>
      </c>
      <c r="O6" s="67">
        <v>45748</v>
      </c>
      <c r="P6" s="67">
        <v>45778</v>
      </c>
      <c r="Q6" s="66" t="s">
        <v>158</v>
      </c>
    </row>
    <row r="7" spans="2:19" ht="13.8" thickBot="1" x14ac:dyDescent="0.3">
      <c r="B7" s="65"/>
      <c r="C7" s="64"/>
      <c r="D7" s="63"/>
      <c r="E7" s="63"/>
      <c r="F7" s="63"/>
      <c r="G7" s="63"/>
      <c r="H7" s="63"/>
      <c r="I7" s="63"/>
      <c r="J7" s="63"/>
      <c r="K7" s="63"/>
      <c r="L7" s="63"/>
      <c r="M7" s="63"/>
      <c r="N7" s="63"/>
      <c r="O7" s="63"/>
      <c r="P7" s="63"/>
      <c r="Q7" s="62"/>
    </row>
    <row r="8" spans="2:19" x14ac:dyDescent="0.25">
      <c r="B8" s="53"/>
      <c r="C8" s="59" t="s">
        <v>157</v>
      </c>
      <c r="D8" s="59" t="s">
        <v>135</v>
      </c>
      <c r="E8" s="59" t="s">
        <v>154</v>
      </c>
      <c r="F8" s="60" t="str">
        <f>IF(C8&lt;&gt;"",$D$4,"")</f>
        <v>PYD - PICK YOUR DRIVER</v>
      </c>
      <c r="G8" s="59">
        <v>4</v>
      </c>
      <c r="H8" s="58" t="s">
        <v>156</v>
      </c>
      <c r="I8" s="58"/>
      <c r="J8" s="58"/>
      <c r="K8" s="57">
        <f>19*6</f>
        <v>114</v>
      </c>
      <c r="L8" s="56">
        <f>G8*K8</f>
        <v>456</v>
      </c>
      <c r="M8" s="61">
        <f>K8</f>
        <v>114</v>
      </c>
      <c r="N8" s="61">
        <v>114</v>
      </c>
      <c r="O8" s="61"/>
      <c r="P8" s="61"/>
      <c r="Q8" s="54">
        <f>SUM(M8:P8)</f>
        <v>228</v>
      </c>
    </row>
    <row r="9" spans="2:19" x14ac:dyDescent="0.25">
      <c r="B9" s="53"/>
      <c r="C9" s="59" t="s">
        <v>155</v>
      </c>
      <c r="D9" s="59" t="s">
        <v>135</v>
      </c>
      <c r="E9" s="59" t="s">
        <v>154</v>
      </c>
      <c r="F9" s="60" t="str">
        <f>IF(C9&lt;&gt;"",$D$4,"")</f>
        <v>PYD - PICK YOUR DRIVER</v>
      </c>
      <c r="G9" s="59">
        <v>4</v>
      </c>
      <c r="H9" s="58" t="s">
        <v>153</v>
      </c>
      <c r="I9" s="58"/>
      <c r="J9" s="58"/>
      <c r="K9" s="57">
        <v>70.790000000000006</v>
      </c>
      <c r="L9" s="56">
        <f>G9*K9</f>
        <v>283.16000000000003</v>
      </c>
      <c r="M9" s="61">
        <v>70.790000000000006</v>
      </c>
      <c r="N9" s="61">
        <v>70.790000000000006</v>
      </c>
      <c r="O9" s="61"/>
      <c r="P9" s="61"/>
      <c r="Q9" s="54">
        <f>SUM(M9:P9)</f>
        <v>141.58000000000001</v>
      </c>
    </row>
    <row r="10" spans="2:19" x14ac:dyDescent="0.25">
      <c r="B10" s="53"/>
      <c r="C10" s="59" t="s">
        <v>152</v>
      </c>
      <c r="D10" s="59" t="s">
        <v>135</v>
      </c>
      <c r="E10" s="59" t="s">
        <v>134</v>
      </c>
      <c r="F10" s="60" t="str">
        <f>IF(C10&lt;&gt;"",$D$4,"")</f>
        <v>PYD - PICK YOUR DRIVER</v>
      </c>
      <c r="G10" s="59">
        <v>4</v>
      </c>
      <c r="H10" s="58" t="s">
        <v>151</v>
      </c>
      <c r="I10" s="58"/>
      <c r="J10" s="58"/>
      <c r="K10" s="57">
        <v>5000</v>
      </c>
      <c r="L10" s="56">
        <f>G10*K10</f>
        <v>20000</v>
      </c>
      <c r="M10" s="61">
        <v>5000</v>
      </c>
      <c r="N10" s="61">
        <v>5000</v>
      </c>
      <c r="O10" s="61"/>
      <c r="P10" s="61"/>
      <c r="Q10" s="54">
        <f>SUM(M10:P10)</f>
        <v>10000</v>
      </c>
    </row>
    <row r="11" spans="2:19" x14ac:dyDescent="0.25">
      <c r="B11" s="53"/>
      <c r="C11" s="59" t="s">
        <v>150</v>
      </c>
      <c r="D11" s="59" t="s">
        <v>135</v>
      </c>
      <c r="E11" s="59" t="s">
        <v>134</v>
      </c>
      <c r="F11" s="60" t="str">
        <f>IF(C11&lt;&gt;"",$D$4,"")</f>
        <v>PYD - PICK YOUR DRIVER</v>
      </c>
      <c r="G11" s="59">
        <v>4</v>
      </c>
      <c r="H11" s="58" t="s">
        <v>149</v>
      </c>
      <c r="I11" s="58"/>
      <c r="J11" s="58"/>
      <c r="K11" s="57">
        <v>20018</v>
      </c>
      <c r="L11" s="56">
        <f>G11*K11</f>
        <v>80072</v>
      </c>
      <c r="M11" s="61">
        <v>20018</v>
      </c>
      <c r="N11" s="61">
        <v>20018</v>
      </c>
      <c r="O11" s="61"/>
      <c r="P11" s="61"/>
      <c r="Q11" s="54">
        <f>SUM(M11:P11)</f>
        <v>40036</v>
      </c>
    </row>
    <row r="12" spans="2:19" x14ac:dyDescent="0.25">
      <c r="B12" s="53"/>
      <c r="C12" s="59" t="s">
        <v>148</v>
      </c>
      <c r="D12" s="59" t="s">
        <v>135</v>
      </c>
      <c r="E12" s="59" t="s">
        <v>134</v>
      </c>
      <c r="F12" s="60" t="str">
        <f>IF(C12&lt;&gt;"",$D$4,"")</f>
        <v>PYD - PICK YOUR DRIVER</v>
      </c>
      <c r="G12" s="59">
        <v>4</v>
      </c>
      <c r="H12" s="58" t="s">
        <v>147</v>
      </c>
      <c r="I12" s="58"/>
      <c r="J12" s="58"/>
      <c r="K12" s="57">
        <v>5429</v>
      </c>
      <c r="L12" s="56">
        <f>G12*K12</f>
        <v>21716</v>
      </c>
      <c r="M12" s="61">
        <v>5429</v>
      </c>
      <c r="N12" s="61">
        <v>5429</v>
      </c>
      <c r="O12" s="61"/>
      <c r="P12" s="61"/>
      <c r="Q12" s="54">
        <f>SUM(M12:P12)</f>
        <v>10858</v>
      </c>
    </row>
    <row r="13" spans="2:19" x14ac:dyDescent="0.25">
      <c r="B13" s="53"/>
      <c r="C13" s="59" t="s">
        <v>136</v>
      </c>
      <c r="D13" s="59" t="s">
        <v>135</v>
      </c>
      <c r="E13" s="59" t="s">
        <v>134</v>
      </c>
      <c r="F13" s="60" t="str">
        <f>IF(C13&lt;&gt;"",$D$4,"")</f>
        <v>PYD - PICK YOUR DRIVER</v>
      </c>
      <c r="G13" s="59">
        <v>4</v>
      </c>
      <c r="H13" s="58" t="s">
        <v>146</v>
      </c>
      <c r="I13" s="58"/>
      <c r="J13" s="58"/>
      <c r="K13" s="57">
        <f>90*6</f>
        <v>540</v>
      </c>
      <c r="L13" s="56">
        <f>G13*K13</f>
        <v>2160</v>
      </c>
      <c r="M13" s="61">
        <v>540</v>
      </c>
      <c r="N13" s="61">
        <v>540</v>
      </c>
      <c r="O13" s="61"/>
      <c r="P13" s="61"/>
      <c r="Q13" s="54">
        <f>SUM(M13:P13)</f>
        <v>1080</v>
      </c>
    </row>
    <row r="14" spans="2:19" x14ac:dyDescent="0.25">
      <c r="B14" s="53"/>
      <c r="C14" s="59" t="s">
        <v>145</v>
      </c>
      <c r="D14" s="59" t="s">
        <v>135</v>
      </c>
      <c r="E14" s="59" t="s">
        <v>140</v>
      </c>
      <c r="F14" s="60" t="str">
        <f>IF(C14&lt;&gt;"",$D$4,"")</f>
        <v>PYD - PICK YOUR DRIVER</v>
      </c>
      <c r="G14" s="59">
        <v>1</v>
      </c>
      <c r="H14" s="58" t="s">
        <v>144</v>
      </c>
      <c r="I14" s="58"/>
      <c r="J14" s="58"/>
      <c r="K14" s="57">
        <v>7500</v>
      </c>
      <c r="L14" s="56">
        <f>G14*K14</f>
        <v>7500</v>
      </c>
      <c r="M14" s="61">
        <f>L14/4</f>
        <v>1875</v>
      </c>
      <c r="N14" s="61">
        <v>1875</v>
      </c>
      <c r="O14" s="61"/>
      <c r="P14" s="61"/>
      <c r="Q14" s="54">
        <f>SUM(M14:P14)</f>
        <v>3750</v>
      </c>
    </row>
    <row r="15" spans="2:19" x14ac:dyDescent="0.25">
      <c r="B15" s="53"/>
      <c r="C15" s="59" t="s">
        <v>143</v>
      </c>
      <c r="D15" s="59" t="s">
        <v>135</v>
      </c>
      <c r="E15" s="59" t="s">
        <v>140</v>
      </c>
      <c r="F15" s="60" t="str">
        <f>IF(C15&lt;&gt;"",$D$4,"")</f>
        <v>PYD - PICK YOUR DRIVER</v>
      </c>
      <c r="G15" s="59">
        <v>4</v>
      </c>
      <c r="H15" s="58" t="s">
        <v>142</v>
      </c>
      <c r="I15" s="58"/>
      <c r="J15" s="58"/>
      <c r="K15" s="57">
        <v>1800</v>
      </c>
      <c r="L15" s="56">
        <f>G15*K15</f>
        <v>7200</v>
      </c>
      <c r="M15" s="61">
        <v>1800</v>
      </c>
      <c r="N15" s="61">
        <v>1800</v>
      </c>
      <c r="O15" s="61"/>
      <c r="P15" s="61"/>
      <c r="Q15" s="54">
        <f>SUM(M15:P15)</f>
        <v>3600</v>
      </c>
    </row>
    <row r="16" spans="2:19" x14ac:dyDescent="0.25">
      <c r="B16" s="53"/>
      <c r="C16" s="59" t="s">
        <v>141</v>
      </c>
      <c r="D16" s="59" t="s">
        <v>135</v>
      </c>
      <c r="E16" s="59" t="s">
        <v>140</v>
      </c>
      <c r="F16" s="60" t="str">
        <f>IF(C16&lt;&gt;"",$D$4,"")</f>
        <v>PYD - PICK YOUR DRIVER</v>
      </c>
      <c r="G16" s="59">
        <v>4</v>
      </c>
      <c r="H16" s="58" t="s">
        <v>139</v>
      </c>
      <c r="I16" s="58"/>
      <c r="J16" s="58"/>
      <c r="K16" s="57">
        <v>1000</v>
      </c>
      <c r="L16" s="56">
        <f>G16*K16</f>
        <v>4000</v>
      </c>
      <c r="M16" s="55">
        <v>1000</v>
      </c>
      <c r="N16" s="55">
        <v>1000</v>
      </c>
      <c r="O16" s="55"/>
      <c r="P16" s="55"/>
      <c r="Q16" s="54">
        <f>SUM(M16:P16)</f>
        <v>2000</v>
      </c>
    </row>
    <row r="17" spans="2:17" x14ac:dyDescent="0.25">
      <c r="B17" s="53"/>
      <c r="C17" s="59" t="s">
        <v>138</v>
      </c>
      <c r="D17" s="59" t="s">
        <v>135</v>
      </c>
      <c r="E17" s="59" t="s">
        <v>134</v>
      </c>
      <c r="F17" s="60" t="str">
        <f>IF(C17&lt;&gt;"",$D$4,"")</f>
        <v>PYD - PICK YOUR DRIVER</v>
      </c>
      <c r="G17" s="59">
        <v>4</v>
      </c>
      <c r="H17" s="58" t="s">
        <v>137</v>
      </c>
      <c r="I17" s="58"/>
      <c r="J17" s="58"/>
      <c r="K17" s="57">
        <f>21*6</f>
        <v>126</v>
      </c>
      <c r="L17" s="56">
        <f>G17*K17</f>
        <v>504</v>
      </c>
      <c r="M17" s="55">
        <v>126</v>
      </c>
      <c r="N17" s="55">
        <v>126</v>
      </c>
      <c r="O17" s="55"/>
      <c r="P17" s="55"/>
      <c r="Q17" s="54">
        <f>SUM(M17:P17)</f>
        <v>252</v>
      </c>
    </row>
    <row r="18" spans="2:17" ht="13.8" thickBot="1" x14ac:dyDescent="0.3">
      <c r="B18" s="53"/>
      <c r="C18" s="59" t="s">
        <v>136</v>
      </c>
      <c r="D18" s="59" t="s">
        <v>135</v>
      </c>
      <c r="E18" s="59" t="s">
        <v>134</v>
      </c>
      <c r="F18" s="60" t="str">
        <f>IF(C18&lt;&gt;"",$D$4,"")</f>
        <v>PYD - PICK YOUR DRIVER</v>
      </c>
      <c r="G18" s="59">
        <v>1</v>
      </c>
      <c r="H18" s="58" t="s">
        <v>133</v>
      </c>
      <c r="I18" s="58"/>
      <c r="J18" s="58"/>
      <c r="K18" s="57">
        <f>50*6</f>
        <v>300</v>
      </c>
      <c r="L18" s="56">
        <f>G18*K18</f>
        <v>300</v>
      </c>
      <c r="M18" s="55">
        <v>300</v>
      </c>
      <c r="N18" s="55"/>
      <c r="O18" s="55"/>
      <c r="P18" s="55"/>
      <c r="Q18" s="54">
        <f>SUM(M18:P18)</f>
        <v>300</v>
      </c>
    </row>
    <row r="19" spans="2:17" ht="18" thickBot="1" x14ac:dyDescent="0.3">
      <c r="B19" s="53"/>
      <c r="C19" s="51" t="s">
        <v>132</v>
      </c>
      <c r="D19" s="50"/>
      <c r="E19" s="50"/>
      <c r="F19" s="50"/>
      <c r="G19" s="50"/>
      <c r="H19" s="50"/>
      <c r="I19" s="50"/>
      <c r="J19" s="50"/>
      <c r="K19" s="50"/>
      <c r="L19" s="49"/>
      <c r="M19" s="48">
        <f>SUMIF($D$8:$D$18,"=Despesa",M8:M18)</f>
        <v>36272.79</v>
      </c>
      <c r="N19" s="48">
        <f>SUMIF($D$8:$D$18,"=Despesa",N8:N18)</f>
        <v>35972.79</v>
      </c>
      <c r="O19" s="48">
        <f>SUMIF($D$8:$D$18,"=Despesa",O8:O18)</f>
        <v>0</v>
      </c>
      <c r="P19" s="48">
        <f>SUMIF($D$8:$D$18,"=Despesa",P8:P18)</f>
        <v>0</v>
      </c>
      <c r="Q19" s="48">
        <f>SUMIF($D$8:$D$18,"=Despesa",Q8:Q18)</f>
        <v>72245.58</v>
      </c>
    </row>
    <row r="20" spans="2:17" ht="18" thickBot="1" x14ac:dyDescent="0.3">
      <c r="B20" s="53"/>
      <c r="C20" s="51" t="s">
        <v>131</v>
      </c>
      <c r="D20" s="50"/>
      <c r="E20" s="50"/>
      <c r="F20" s="50"/>
      <c r="G20" s="50"/>
      <c r="H20" s="50"/>
      <c r="I20" s="50"/>
      <c r="J20" s="50"/>
      <c r="K20" s="50"/>
      <c r="L20" s="49"/>
      <c r="M20" s="48">
        <f>SUMIF($D$8:$D$18,"=Investimento",M8:M18)</f>
        <v>0</v>
      </c>
      <c r="N20" s="48">
        <f>SUMIF($D$8:$D$18,"=Investimento",N8:N18)</f>
        <v>0</v>
      </c>
      <c r="O20" s="48">
        <f>SUMIF($D$8:$D$18,"=Investimento",O8:O18)</f>
        <v>0</v>
      </c>
      <c r="P20" s="48">
        <f>SUMIF($D$8:$D$18,"=Investimento",P8:P18)</f>
        <v>0</v>
      </c>
      <c r="Q20" s="48">
        <f>SUMIF($D$8:$D$18,"=Investimento",Q8:Q18)</f>
        <v>0</v>
      </c>
    </row>
    <row r="21" spans="2:17" ht="18" thickBot="1" x14ac:dyDescent="0.3">
      <c r="B21" s="52"/>
      <c r="C21" s="51" t="s">
        <v>130</v>
      </c>
      <c r="D21" s="50"/>
      <c r="E21" s="50"/>
      <c r="F21" s="50"/>
      <c r="G21" s="50"/>
      <c r="H21" s="50"/>
      <c r="I21" s="50"/>
      <c r="J21" s="50"/>
      <c r="K21" s="50"/>
      <c r="L21" s="49"/>
      <c r="M21" s="48">
        <f>SUM(M8:M20)</f>
        <v>72545.58</v>
      </c>
      <c r="N21" s="48">
        <f>SUM(N19:N20)</f>
        <v>35972.79</v>
      </c>
      <c r="O21" s="48">
        <f>SUM(O19:O20)</f>
        <v>0</v>
      </c>
      <c r="P21" s="48">
        <f>SUM(P19:P20)</f>
        <v>0</v>
      </c>
      <c r="Q21" s="48">
        <f>SUM(Q19:Q20)</f>
        <v>72245.58</v>
      </c>
    </row>
    <row r="23" spans="2:17" x14ac:dyDescent="0.25">
      <c r="C23" s="47"/>
      <c r="D23" s="47"/>
      <c r="E23" s="47"/>
      <c r="F23" s="47"/>
    </row>
  </sheetData>
  <mergeCells count="5">
    <mergeCell ref="I2:J2"/>
    <mergeCell ref="D4:I4"/>
    <mergeCell ref="K4:M4"/>
    <mergeCell ref="N4:O4"/>
    <mergeCell ref="B6:B21"/>
  </mergeCells>
  <dataValidations count="6">
    <dataValidation type="list" allowBlank="1" showInputMessage="1" showErrorMessage="1" sqref="WUY983032:WUY983058 D65528:D65554 IM65528:IM65554 SI65528:SI65554 ACE65528:ACE65554 AMA65528:AMA65554 AVW65528:AVW65554 BFS65528:BFS65554 BPO65528:BPO65554 BZK65528:BZK65554 CJG65528:CJG65554 CTC65528:CTC65554 DCY65528:DCY65554 DMU65528:DMU65554 DWQ65528:DWQ65554 EGM65528:EGM65554 EQI65528:EQI65554 FAE65528:FAE65554 FKA65528:FKA65554 FTW65528:FTW65554 GDS65528:GDS65554 GNO65528:GNO65554 GXK65528:GXK65554 HHG65528:HHG65554 HRC65528:HRC65554 IAY65528:IAY65554 IKU65528:IKU65554 IUQ65528:IUQ65554 JEM65528:JEM65554 JOI65528:JOI65554 JYE65528:JYE65554 KIA65528:KIA65554 KRW65528:KRW65554 LBS65528:LBS65554 LLO65528:LLO65554 LVK65528:LVK65554 MFG65528:MFG65554 MPC65528:MPC65554 MYY65528:MYY65554 NIU65528:NIU65554 NSQ65528:NSQ65554 OCM65528:OCM65554 OMI65528:OMI65554 OWE65528:OWE65554 PGA65528:PGA65554 PPW65528:PPW65554 PZS65528:PZS65554 QJO65528:QJO65554 QTK65528:QTK65554 RDG65528:RDG65554 RNC65528:RNC65554 RWY65528:RWY65554 SGU65528:SGU65554 SQQ65528:SQQ65554 TAM65528:TAM65554 TKI65528:TKI65554 TUE65528:TUE65554 UEA65528:UEA65554 UNW65528:UNW65554 UXS65528:UXS65554 VHO65528:VHO65554 VRK65528:VRK65554 WBG65528:WBG65554 WLC65528:WLC65554 WUY65528:WUY65554 D131064:D131090 IM131064:IM131090 SI131064:SI131090 ACE131064:ACE131090 AMA131064:AMA131090 AVW131064:AVW131090 BFS131064:BFS131090 BPO131064:BPO131090 BZK131064:BZK131090 CJG131064:CJG131090 CTC131064:CTC131090 DCY131064:DCY131090 DMU131064:DMU131090 DWQ131064:DWQ131090 EGM131064:EGM131090 EQI131064:EQI131090 FAE131064:FAE131090 FKA131064:FKA131090 FTW131064:FTW131090 GDS131064:GDS131090 GNO131064:GNO131090 GXK131064:GXK131090 HHG131064:HHG131090 HRC131064:HRC131090 IAY131064:IAY131090 IKU131064:IKU131090 IUQ131064:IUQ131090 JEM131064:JEM131090 JOI131064:JOI131090 JYE131064:JYE131090 KIA131064:KIA131090 KRW131064:KRW131090 LBS131064:LBS131090 LLO131064:LLO131090 LVK131064:LVK131090 MFG131064:MFG131090 MPC131064:MPC131090 MYY131064:MYY131090 NIU131064:NIU131090 NSQ131064:NSQ131090 OCM131064:OCM131090 OMI131064:OMI131090 OWE131064:OWE131090 PGA131064:PGA131090 PPW131064:PPW131090 PZS131064:PZS131090 QJO131064:QJO131090 QTK131064:QTK131090 RDG131064:RDG131090 RNC131064:RNC131090 RWY131064:RWY131090 SGU131064:SGU131090 SQQ131064:SQQ131090 TAM131064:TAM131090 TKI131064:TKI131090 TUE131064:TUE131090 UEA131064:UEA131090 UNW131064:UNW131090 UXS131064:UXS131090 VHO131064:VHO131090 VRK131064:VRK131090 WBG131064:WBG131090 WLC131064:WLC131090 WUY131064:WUY131090 D196600:D196626 IM196600:IM196626 SI196600:SI196626 ACE196600:ACE196626 AMA196600:AMA196626 AVW196600:AVW196626 BFS196600:BFS196626 BPO196600:BPO196626 BZK196600:BZK196626 CJG196600:CJG196626 CTC196600:CTC196626 DCY196600:DCY196626 DMU196600:DMU196626 DWQ196600:DWQ196626 EGM196600:EGM196626 EQI196600:EQI196626 FAE196600:FAE196626 FKA196600:FKA196626 FTW196600:FTW196626 GDS196600:GDS196626 GNO196600:GNO196626 GXK196600:GXK196626 HHG196600:HHG196626 HRC196600:HRC196626 IAY196600:IAY196626 IKU196600:IKU196626 IUQ196600:IUQ196626 JEM196600:JEM196626 JOI196600:JOI196626 JYE196600:JYE196626 KIA196600:KIA196626 KRW196600:KRW196626 LBS196600:LBS196626 LLO196600:LLO196626 LVK196600:LVK196626 MFG196600:MFG196626 MPC196600:MPC196626 MYY196600:MYY196626 NIU196600:NIU196626 NSQ196600:NSQ196626 OCM196600:OCM196626 OMI196600:OMI196626 OWE196600:OWE196626 PGA196600:PGA196626 PPW196600:PPW196626 PZS196600:PZS196626 QJO196600:QJO196626 QTK196600:QTK196626 RDG196600:RDG196626 RNC196600:RNC196626 RWY196600:RWY196626 SGU196600:SGU196626 SQQ196600:SQQ196626 TAM196600:TAM196626 TKI196600:TKI196626 TUE196600:TUE196626 UEA196600:UEA196626 UNW196600:UNW196626 UXS196600:UXS196626 VHO196600:VHO196626 VRK196600:VRK196626 WBG196600:WBG196626 WLC196600:WLC196626 WUY196600:WUY196626 D262136:D262162 IM262136:IM262162 SI262136:SI262162 ACE262136:ACE262162 AMA262136:AMA262162 AVW262136:AVW262162 BFS262136:BFS262162 BPO262136:BPO262162 BZK262136:BZK262162 CJG262136:CJG262162 CTC262136:CTC262162 DCY262136:DCY262162 DMU262136:DMU262162 DWQ262136:DWQ262162 EGM262136:EGM262162 EQI262136:EQI262162 FAE262136:FAE262162 FKA262136:FKA262162 FTW262136:FTW262162 GDS262136:GDS262162 GNO262136:GNO262162 GXK262136:GXK262162 HHG262136:HHG262162 HRC262136:HRC262162 IAY262136:IAY262162 IKU262136:IKU262162 IUQ262136:IUQ262162 JEM262136:JEM262162 JOI262136:JOI262162 JYE262136:JYE262162 KIA262136:KIA262162 KRW262136:KRW262162 LBS262136:LBS262162 LLO262136:LLO262162 LVK262136:LVK262162 MFG262136:MFG262162 MPC262136:MPC262162 MYY262136:MYY262162 NIU262136:NIU262162 NSQ262136:NSQ262162 OCM262136:OCM262162 OMI262136:OMI262162 OWE262136:OWE262162 PGA262136:PGA262162 PPW262136:PPW262162 PZS262136:PZS262162 QJO262136:QJO262162 QTK262136:QTK262162 RDG262136:RDG262162 RNC262136:RNC262162 RWY262136:RWY262162 SGU262136:SGU262162 SQQ262136:SQQ262162 TAM262136:TAM262162 TKI262136:TKI262162 TUE262136:TUE262162 UEA262136:UEA262162 UNW262136:UNW262162 UXS262136:UXS262162 VHO262136:VHO262162 VRK262136:VRK262162 WBG262136:WBG262162 WLC262136:WLC262162 WUY262136:WUY262162 D327672:D327698 IM327672:IM327698 SI327672:SI327698 ACE327672:ACE327698 AMA327672:AMA327698 AVW327672:AVW327698 BFS327672:BFS327698 BPO327672:BPO327698 BZK327672:BZK327698 CJG327672:CJG327698 CTC327672:CTC327698 DCY327672:DCY327698 DMU327672:DMU327698 DWQ327672:DWQ327698 EGM327672:EGM327698 EQI327672:EQI327698 FAE327672:FAE327698 FKA327672:FKA327698 FTW327672:FTW327698 GDS327672:GDS327698 GNO327672:GNO327698 GXK327672:GXK327698 HHG327672:HHG327698 HRC327672:HRC327698 IAY327672:IAY327698 IKU327672:IKU327698 IUQ327672:IUQ327698 JEM327672:JEM327698 JOI327672:JOI327698 JYE327672:JYE327698 KIA327672:KIA327698 KRW327672:KRW327698 LBS327672:LBS327698 LLO327672:LLO327698 LVK327672:LVK327698 MFG327672:MFG327698 MPC327672:MPC327698 MYY327672:MYY327698 NIU327672:NIU327698 NSQ327672:NSQ327698 OCM327672:OCM327698 OMI327672:OMI327698 OWE327672:OWE327698 PGA327672:PGA327698 PPW327672:PPW327698 PZS327672:PZS327698 QJO327672:QJO327698 QTK327672:QTK327698 RDG327672:RDG327698 RNC327672:RNC327698 RWY327672:RWY327698 SGU327672:SGU327698 SQQ327672:SQQ327698 TAM327672:TAM327698 TKI327672:TKI327698 TUE327672:TUE327698 UEA327672:UEA327698 UNW327672:UNW327698 UXS327672:UXS327698 VHO327672:VHO327698 VRK327672:VRK327698 WBG327672:WBG327698 WLC327672:WLC327698 WUY327672:WUY327698 D393208:D393234 IM393208:IM393234 SI393208:SI393234 ACE393208:ACE393234 AMA393208:AMA393234 AVW393208:AVW393234 BFS393208:BFS393234 BPO393208:BPO393234 BZK393208:BZK393234 CJG393208:CJG393234 CTC393208:CTC393234 DCY393208:DCY393234 DMU393208:DMU393234 DWQ393208:DWQ393234 EGM393208:EGM393234 EQI393208:EQI393234 FAE393208:FAE393234 FKA393208:FKA393234 FTW393208:FTW393234 GDS393208:GDS393234 GNO393208:GNO393234 GXK393208:GXK393234 HHG393208:HHG393234 HRC393208:HRC393234 IAY393208:IAY393234 IKU393208:IKU393234 IUQ393208:IUQ393234 JEM393208:JEM393234 JOI393208:JOI393234 JYE393208:JYE393234 KIA393208:KIA393234 KRW393208:KRW393234 LBS393208:LBS393234 LLO393208:LLO393234 LVK393208:LVK393234 MFG393208:MFG393234 MPC393208:MPC393234 MYY393208:MYY393234 NIU393208:NIU393234 NSQ393208:NSQ393234 OCM393208:OCM393234 OMI393208:OMI393234 OWE393208:OWE393234 PGA393208:PGA393234 PPW393208:PPW393234 PZS393208:PZS393234 QJO393208:QJO393234 QTK393208:QTK393234 RDG393208:RDG393234 RNC393208:RNC393234 RWY393208:RWY393234 SGU393208:SGU393234 SQQ393208:SQQ393234 TAM393208:TAM393234 TKI393208:TKI393234 TUE393208:TUE393234 UEA393208:UEA393234 UNW393208:UNW393234 UXS393208:UXS393234 VHO393208:VHO393234 VRK393208:VRK393234 WBG393208:WBG393234 WLC393208:WLC393234 WUY393208:WUY393234 D458744:D458770 IM458744:IM458770 SI458744:SI458770 ACE458744:ACE458770 AMA458744:AMA458770 AVW458744:AVW458770 BFS458744:BFS458770 BPO458744:BPO458770 BZK458744:BZK458770 CJG458744:CJG458770 CTC458744:CTC458770 DCY458744:DCY458770 DMU458744:DMU458770 DWQ458744:DWQ458770 EGM458744:EGM458770 EQI458744:EQI458770 FAE458744:FAE458770 FKA458744:FKA458770 FTW458744:FTW458770 GDS458744:GDS458770 GNO458744:GNO458770 GXK458744:GXK458770 HHG458744:HHG458770 HRC458744:HRC458770 IAY458744:IAY458770 IKU458744:IKU458770 IUQ458744:IUQ458770 JEM458744:JEM458770 JOI458744:JOI458770 JYE458744:JYE458770 KIA458744:KIA458770 KRW458744:KRW458770 LBS458744:LBS458770 LLO458744:LLO458770 LVK458744:LVK458770 MFG458744:MFG458770 MPC458744:MPC458770 MYY458744:MYY458770 NIU458744:NIU458770 NSQ458744:NSQ458770 OCM458744:OCM458770 OMI458744:OMI458770 OWE458744:OWE458770 PGA458744:PGA458770 PPW458744:PPW458770 PZS458744:PZS458770 QJO458744:QJO458770 QTK458744:QTK458770 RDG458744:RDG458770 RNC458744:RNC458770 RWY458744:RWY458770 SGU458744:SGU458770 SQQ458744:SQQ458770 TAM458744:TAM458770 TKI458744:TKI458770 TUE458744:TUE458770 UEA458744:UEA458770 UNW458744:UNW458770 UXS458744:UXS458770 VHO458744:VHO458770 VRK458744:VRK458770 WBG458744:WBG458770 WLC458744:WLC458770 WUY458744:WUY458770 D524280:D524306 IM524280:IM524306 SI524280:SI524306 ACE524280:ACE524306 AMA524280:AMA524306 AVW524280:AVW524306 BFS524280:BFS524306 BPO524280:BPO524306 BZK524280:BZK524306 CJG524280:CJG524306 CTC524280:CTC524306 DCY524280:DCY524306 DMU524280:DMU524306 DWQ524280:DWQ524306 EGM524280:EGM524306 EQI524280:EQI524306 FAE524280:FAE524306 FKA524280:FKA524306 FTW524280:FTW524306 GDS524280:GDS524306 GNO524280:GNO524306 GXK524280:GXK524306 HHG524280:HHG524306 HRC524280:HRC524306 IAY524280:IAY524306 IKU524280:IKU524306 IUQ524280:IUQ524306 JEM524280:JEM524306 JOI524280:JOI524306 JYE524280:JYE524306 KIA524280:KIA524306 KRW524280:KRW524306 LBS524280:LBS524306 LLO524280:LLO524306 LVK524280:LVK524306 MFG524280:MFG524306 MPC524280:MPC524306 MYY524280:MYY524306 NIU524280:NIU524306 NSQ524280:NSQ524306 OCM524280:OCM524306 OMI524280:OMI524306 OWE524280:OWE524306 PGA524280:PGA524306 PPW524280:PPW524306 PZS524280:PZS524306 QJO524280:QJO524306 QTK524280:QTK524306 RDG524280:RDG524306 RNC524280:RNC524306 RWY524280:RWY524306 SGU524280:SGU524306 SQQ524280:SQQ524306 TAM524280:TAM524306 TKI524280:TKI524306 TUE524280:TUE524306 UEA524280:UEA524306 UNW524280:UNW524306 UXS524280:UXS524306 VHO524280:VHO524306 VRK524280:VRK524306 WBG524280:WBG524306 WLC524280:WLC524306 WUY524280:WUY524306 D589816:D589842 IM589816:IM589842 SI589816:SI589842 ACE589816:ACE589842 AMA589816:AMA589842 AVW589816:AVW589842 BFS589816:BFS589842 BPO589816:BPO589842 BZK589816:BZK589842 CJG589816:CJG589842 CTC589816:CTC589842 DCY589816:DCY589842 DMU589816:DMU589842 DWQ589816:DWQ589842 EGM589816:EGM589842 EQI589816:EQI589842 FAE589816:FAE589842 FKA589816:FKA589842 FTW589816:FTW589842 GDS589816:GDS589842 GNO589816:GNO589842 GXK589816:GXK589842 HHG589816:HHG589842 HRC589816:HRC589842 IAY589816:IAY589842 IKU589816:IKU589842 IUQ589816:IUQ589842 JEM589816:JEM589842 JOI589816:JOI589842 JYE589816:JYE589842 KIA589816:KIA589842 KRW589816:KRW589842 LBS589816:LBS589842 LLO589816:LLO589842 LVK589816:LVK589842 MFG589816:MFG589842 MPC589816:MPC589842 MYY589816:MYY589842 NIU589816:NIU589842 NSQ589816:NSQ589842 OCM589816:OCM589842 OMI589816:OMI589842 OWE589816:OWE589842 PGA589816:PGA589842 PPW589816:PPW589842 PZS589816:PZS589842 QJO589816:QJO589842 QTK589816:QTK589842 RDG589816:RDG589842 RNC589816:RNC589842 RWY589816:RWY589842 SGU589816:SGU589842 SQQ589816:SQQ589842 TAM589816:TAM589842 TKI589816:TKI589842 TUE589816:TUE589842 UEA589816:UEA589842 UNW589816:UNW589842 UXS589816:UXS589842 VHO589816:VHO589842 VRK589816:VRK589842 WBG589816:WBG589842 WLC589816:WLC589842 WUY589816:WUY589842 D655352:D655378 IM655352:IM655378 SI655352:SI655378 ACE655352:ACE655378 AMA655352:AMA655378 AVW655352:AVW655378 BFS655352:BFS655378 BPO655352:BPO655378 BZK655352:BZK655378 CJG655352:CJG655378 CTC655352:CTC655378 DCY655352:DCY655378 DMU655352:DMU655378 DWQ655352:DWQ655378 EGM655352:EGM655378 EQI655352:EQI655378 FAE655352:FAE655378 FKA655352:FKA655378 FTW655352:FTW655378 GDS655352:GDS655378 GNO655352:GNO655378 GXK655352:GXK655378 HHG655352:HHG655378 HRC655352:HRC655378 IAY655352:IAY655378 IKU655352:IKU655378 IUQ655352:IUQ655378 JEM655352:JEM655378 JOI655352:JOI655378 JYE655352:JYE655378 KIA655352:KIA655378 KRW655352:KRW655378 LBS655352:LBS655378 LLO655352:LLO655378 LVK655352:LVK655378 MFG655352:MFG655378 MPC655352:MPC655378 MYY655352:MYY655378 NIU655352:NIU655378 NSQ655352:NSQ655378 OCM655352:OCM655378 OMI655352:OMI655378 OWE655352:OWE655378 PGA655352:PGA655378 PPW655352:PPW655378 PZS655352:PZS655378 QJO655352:QJO655378 QTK655352:QTK655378 RDG655352:RDG655378 RNC655352:RNC655378 RWY655352:RWY655378 SGU655352:SGU655378 SQQ655352:SQQ655378 TAM655352:TAM655378 TKI655352:TKI655378 TUE655352:TUE655378 UEA655352:UEA655378 UNW655352:UNW655378 UXS655352:UXS655378 VHO655352:VHO655378 VRK655352:VRK655378 WBG655352:WBG655378 WLC655352:WLC655378 WUY655352:WUY655378 D720888:D720914 IM720888:IM720914 SI720888:SI720914 ACE720888:ACE720914 AMA720888:AMA720914 AVW720888:AVW720914 BFS720888:BFS720914 BPO720888:BPO720914 BZK720888:BZK720914 CJG720888:CJG720914 CTC720888:CTC720914 DCY720888:DCY720914 DMU720888:DMU720914 DWQ720888:DWQ720914 EGM720888:EGM720914 EQI720888:EQI720914 FAE720888:FAE720914 FKA720888:FKA720914 FTW720888:FTW720914 GDS720888:GDS720914 GNO720888:GNO720914 GXK720888:GXK720914 HHG720888:HHG720914 HRC720888:HRC720914 IAY720888:IAY720914 IKU720888:IKU720914 IUQ720888:IUQ720914 JEM720888:JEM720914 JOI720888:JOI720914 JYE720888:JYE720914 KIA720888:KIA720914 KRW720888:KRW720914 LBS720888:LBS720914 LLO720888:LLO720914 LVK720888:LVK720914 MFG720888:MFG720914 MPC720888:MPC720914 MYY720888:MYY720914 NIU720888:NIU720914 NSQ720888:NSQ720914 OCM720888:OCM720914 OMI720888:OMI720914 OWE720888:OWE720914 PGA720888:PGA720914 PPW720888:PPW720914 PZS720888:PZS720914 QJO720888:QJO720914 QTK720888:QTK720914 RDG720888:RDG720914 RNC720888:RNC720914 RWY720888:RWY720914 SGU720888:SGU720914 SQQ720888:SQQ720914 TAM720888:TAM720914 TKI720888:TKI720914 TUE720888:TUE720914 UEA720888:UEA720914 UNW720888:UNW720914 UXS720888:UXS720914 VHO720888:VHO720914 VRK720888:VRK720914 WBG720888:WBG720914 WLC720888:WLC720914 WUY720888:WUY720914 D786424:D786450 IM786424:IM786450 SI786424:SI786450 ACE786424:ACE786450 AMA786424:AMA786450 AVW786424:AVW786450 BFS786424:BFS786450 BPO786424:BPO786450 BZK786424:BZK786450 CJG786424:CJG786450 CTC786424:CTC786450 DCY786424:DCY786450 DMU786424:DMU786450 DWQ786424:DWQ786450 EGM786424:EGM786450 EQI786424:EQI786450 FAE786424:FAE786450 FKA786424:FKA786450 FTW786424:FTW786450 GDS786424:GDS786450 GNO786424:GNO786450 GXK786424:GXK786450 HHG786424:HHG786450 HRC786424:HRC786450 IAY786424:IAY786450 IKU786424:IKU786450 IUQ786424:IUQ786450 JEM786424:JEM786450 JOI786424:JOI786450 JYE786424:JYE786450 KIA786424:KIA786450 KRW786424:KRW786450 LBS786424:LBS786450 LLO786424:LLO786450 LVK786424:LVK786450 MFG786424:MFG786450 MPC786424:MPC786450 MYY786424:MYY786450 NIU786424:NIU786450 NSQ786424:NSQ786450 OCM786424:OCM786450 OMI786424:OMI786450 OWE786424:OWE786450 PGA786424:PGA786450 PPW786424:PPW786450 PZS786424:PZS786450 QJO786424:QJO786450 QTK786424:QTK786450 RDG786424:RDG786450 RNC786424:RNC786450 RWY786424:RWY786450 SGU786424:SGU786450 SQQ786424:SQQ786450 TAM786424:TAM786450 TKI786424:TKI786450 TUE786424:TUE786450 UEA786424:UEA786450 UNW786424:UNW786450 UXS786424:UXS786450 VHO786424:VHO786450 VRK786424:VRK786450 WBG786424:WBG786450 WLC786424:WLC786450 WUY786424:WUY786450 D851960:D851986 IM851960:IM851986 SI851960:SI851986 ACE851960:ACE851986 AMA851960:AMA851986 AVW851960:AVW851986 BFS851960:BFS851986 BPO851960:BPO851986 BZK851960:BZK851986 CJG851960:CJG851986 CTC851960:CTC851986 DCY851960:DCY851986 DMU851960:DMU851986 DWQ851960:DWQ851986 EGM851960:EGM851986 EQI851960:EQI851986 FAE851960:FAE851986 FKA851960:FKA851986 FTW851960:FTW851986 GDS851960:GDS851986 GNO851960:GNO851986 GXK851960:GXK851986 HHG851960:HHG851986 HRC851960:HRC851986 IAY851960:IAY851986 IKU851960:IKU851986 IUQ851960:IUQ851986 JEM851960:JEM851986 JOI851960:JOI851986 JYE851960:JYE851986 KIA851960:KIA851986 KRW851960:KRW851986 LBS851960:LBS851986 LLO851960:LLO851986 LVK851960:LVK851986 MFG851960:MFG851986 MPC851960:MPC851986 MYY851960:MYY851986 NIU851960:NIU851986 NSQ851960:NSQ851986 OCM851960:OCM851986 OMI851960:OMI851986 OWE851960:OWE851986 PGA851960:PGA851986 PPW851960:PPW851986 PZS851960:PZS851986 QJO851960:QJO851986 QTK851960:QTK851986 RDG851960:RDG851986 RNC851960:RNC851986 RWY851960:RWY851986 SGU851960:SGU851986 SQQ851960:SQQ851986 TAM851960:TAM851986 TKI851960:TKI851986 TUE851960:TUE851986 UEA851960:UEA851986 UNW851960:UNW851986 UXS851960:UXS851986 VHO851960:VHO851986 VRK851960:VRK851986 WBG851960:WBG851986 WLC851960:WLC851986 WUY851960:WUY851986 D917496:D917522 IM917496:IM917522 SI917496:SI917522 ACE917496:ACE917522 AMA917496:AMA917522 AVW917496:AVW917522 BFS917496:BFS917522 BPO917496:BPO917522 BZK917496:BZK917522 CJG917496:CJG917522 CTC917496:CTC917522 DCY917496:DCY917522 DMU917496:DMU917522 DWQ917496:DWQ917522 EGM917496:EGM917522 EQI917496:EQI917522 FAE917496:FAE917522 FKA917496:FKA917522 FTW917496:FTW917522 GDS917496:GDS917522 GNO917496:GNO917522 GXK917496:GXK917522 HHG917496:HHG917522 HRC917496:HRC917522 IAY917496:IAY917522 IKU917496:IKU917522 IUQ917496:IUQ917522 JEM917496:JEM917522 JOI917496:JOI917522 JYE917496:JYE917522 KIA917496:KIA917522 KRW917496:KRW917522 LBS917496:LBS917522 LLO917496:LLO917522 LVK917496:LVK917522 MFG917496:MFG917522 MPC917496:MPC917522 MYY917496:MYY917522 NIU917496:NIU917522 NSQ917496:NSQ917522 OCM917496:OCM917522 OMI917496:OMI917522 OWE917496:OWE917522 PGA917496:PGA917522 PPW917496:PPW917522 PZS917496:PZS917522 QJO917496:QJO917522 QTK917496:QTK917522 RDG917496:RDG917522 RNC917496:RNC917522 RWY917496:RWY917522 SGU917496:SGU917522 SQQ917496:SQQ917522 TAM917496:TAM917522 TKI917496:TKI917522 TUE917496:TUE917522 UEA917496:UEA917522 UNW917496:UNW917522 UXS917496:UXS917522 VHO917496:VHO917522 VRK917496:VRK917522 WBG917496:WBG917522 WLC917496:WLC917522 WUY917496:WUY917522 D983032:D983058 IM983032:IM983058 SI983032:SI983058 ACE983032:ACE983058 AMA983032:AMA983058 AVW983032:AVW983058 BFS983032:BFS983058 BPO983032:BPO983058 BZK983032:BZK983058 CJG983032:CJG983058 CTC983032:CTC983058 DCY983032:DCY983058 DMU983032:DMU983058 DWQ983032:DWQ983058 EGM983032:EGM983058 EQI983032:EQI983058 FAE983032:FAE983058 FKA983032:FKA983058 FTW983032:FTW983058 GDS983032:GDS983058 GNO983032:GNO983058 GXK983032:GXK983058 HHG983032:HHG983058 HRC983032:HRC983058 IAY983032:IAY983058 IKU983032:IKU983058 IUQ983032:IUQ983058 JEM983032:JEM983058 JOI983032:JOI983058 JYE983032:JYE983058 KIA983032:KIA983058 KRW983032:KRW983058 LBS983032:LBS983058 LLO983032:LLO983058 LVK983032:LVK983058 MFG983032:MFG983058 MPC983032:MPC983058 MYY983032:MYY983058 NIU983032:NIU983058 NSQ983032:NSQ983058 OCM983032:OCM983058 OMI983032:OMI983058 OWE983032:OWE983058 PGA983032:PGA983058 PPW983032:PPW983058 PZS983032:PZS983058 QJO983032:QJO983058 QTK983032:QTK983058 RDG983032:RDG983058 RNC983032:RNC983058 RWY983032:RWY983058 SGU983032:SGU983058 SQQ983032:SQQ983058 TAM983032:TAM983058 TKI983032:TKI983058 TUE983032:TUE983058 UEA983032:UEA983058 UNW983032:UNW983058 UXS983032:UXS983058 VHO983032:VHO983058 VRK983032:VRK983058 WBG983032:WBG983058 WLC983032:WLC983058 IM8:IM18 WUY8:WUY18 WLC8:WLC18 WBG8:WBG18 VRK8:VRK18 VHO8:VHO18 UXS8:UXS18 UNW8:UNW18 UEA8:UEA18 TUE8:TUE18 TKI8:TKI18 TAM8:TAM18 SQQ8:SQQ18 SGU8:SGU18 RWY8:RWY18 RNC8:RNC18 RDG8:RDG18 QTK8:QTK18 QJO8:QJO18 PZS8:PZS18 PPW8:PPW18 PGA8:PGA18 OWE8:OWE18 OMI8:OMI18 OCM8:OCM18 NSQ8:NSQ18 NIU8:NIU18 MYY8:MYY18 MPC8:MPC18 MFG8:MFG18 LVK8:LVK18 LLO8:LLO18 LBS8:LBS18 KRW8:KRW18 KIA8:KIA18 JYE8:JYE18 JOI8:JOI18 JEM8:JEM18 IUQ8:IUQ18 IKU8:IKU18 IAY8:IAY18 HRC8:HRC18 HHG8:HHG18 GXK8:GXK18 GNO8:GNO18 GDS8:GDS18 FTW8:FTW18 FKA8:FKA18 FAE8:FAE18 EQI8:EQI18 EGM8:EGM18 DWQ8:DWQ18 DMU8:DMU18 DCY8:DCY18 CTC8:CTC18 CJG8:CJG18 BZK8:BZK18 BPO8:BPO18 BFS8:BFS18 AVW8:AVW18 AMA8:AMA18 ACE8:ACE18 SI8:SI18" xr:uid="{C2A90B55-5788-49B0-997E-AF2ED92984EF}">
      <formula1>"Investimento, Despesa"</formula1>
    </dataValidation>
    <dataValidation type="list" allowBlank="1" showInputMessage="1" showErrorMessage="1" sqref="WUZ983032:WUZ983058 E65528:E65554 IN65528:IN65554 SJ65528:SJ65554 ACF65528:ACF65554 AMB65528:AMB65554 AVX65528:AVX65554 BFT65528:BFT65554 BPP65528:BPP65554 BZL65528:BZL65554 CJH65528:CJH65554 CTD65528:CTD65554 DCZ65528:DCZ65554 DMV65528:DMV65554 DWR65528:DWR65554 EGN65528:EGN65554 EQJ65528:EQJ65554 FAF65528:FAF65554 FKB65528:FKB65554 FTX65528:FTX65554 GDT65528:GDT65554 GNP65528:GNP65554 GXL65528:GXL65554 HHH65528:HHH65554 HRD65528:HRD65554 IAZ65528:IAZ65554 IKV65528:IKV65554 IUR65528:IUR65554 JEN65528:JEN65554 JOJ65528:JOJ65554 JYF65528:JYF65554 KIB65528:KIB65554 KRX65528:KRX65554 LBT65528:LBT65554 LLP65528:LLP65554 LVL65528:LVL65554 MFH65528:MFH65554 MPD65528:MPD65554 MYZ65528:MYZ65554 NIV65528:NIV65554 NSR65528:NSR65554 OCN65528:OCN65554 OMJ65528:OMJ65554 OWF65528:OWF65554 PGB65528:PGB65554 PPX65528:PPX65554 PZT65528:PZT65554 QJP65528:QJP65554 QTL65528:QTL65554 RDH65528:RDH65554 RND65528:RND65554 RWZ65528:RWZ65554 SGV65528:SGV65554 SQR65528:SQR65554 TAN65528:TAN65554 TKJ65528:TKJ65554 TUF65528:TUF65554 UEB65528:UEB65554 UNX65528:UNX65554 UXT65528:UXT65554 VHP65528:VHP65554 VRL65528:VRL65554 WBH65528:WBH65554 WLD65528:WLD65554 WUZ65528:WUZ65554 E131064:E131090 IN131064:IN131090 SJ131064:SJ131090 ACF131064:ACF131090 AMB131064:AMB131090 AVX131064:AVX131090 BFT131064:BFT131090 BPP131064:BPP131090 BZL131064:BZL131090 CJH131064:CJH131090 CTD131064:CTD131090 DCZ131064:DCZ131090 DMV131064:DMV131090 DWR131064:DWR131090 EGN131064:EGN131090 EQJ131064:EQJ131090 FAF131064:FAF131090 FKB131064:FKB131090 FTX131064:FTX131090 GDT131064:GDT131090 GNP131064:GNP131090 GXL131064:GXL131090 HHH131064:HHH131090 HRD131064:HRD131090 IAZ131064:IAZ131090 IKV131064:IKV131090 IUR131064:IUR131090 JEN131064:JEN131090 JOJ131064:JOJ131090 JYF131064:JYF131090 KIB131064:KIB131090 KRX131064:KRX131090 LBT131064:LBT131090 LLP131064:LLP131090 LVL131064:LVL131090 MFH131064:MFH131090 MPD131064:MPD131090 MYZ131064:MYZ131090 NIV131064:NIV131090 NSR131064:NSR131090 OCN131064:OCN131090 OMJ131064:OMJ131090 OWF131064:OWF131090 PGB131064:PGB131090 PPX131064:PPX131090 PZT131064:PZT131090 QJP131064:QJP131090 QTL131064:QTL131090 RDH131064:RDH131090 RND131064:RND131090 RWZ131064:RWZ131090 SGV131064:SGV131090 SQR131064:SQR131090 TAN131064:TAN131090 TKJ131064:TKJ131090 TUF131064:TUF131090 UEB131064:UEB131090 UNX131064:UNX131090 UXT131064:UXT131090 VHP131064:VHP131090 VRL131064:VRL131090 WBH131064:WBH131090 WLD131064:WLD131090 WUZ131064:WUZ131090 E196600:E196626 IN196600:IN196626 SJ196600:SJ196626 ACF196600:ACF196626 AMB196600:AMB196626 AVX196600:AVX196626 BFT196600:BFT196626 BPP196600:BPP196626 BZL196600:BZL196626 CJH196600:CJH196626 CTD196600:CTD196626 DCZ196600:DCZ196626 DMV196600:DMV196626 DWR196600:DWR196626 EGN196600:EGN196626 EQJ196600:EQJ196626 FAF196600:FAF196626 FKB196600:FKB196626 FTX196600:FTX196626 GDT196600:GDT196626 GNP196600:GNP196626 GXL196600:GXL196626 HHH196600:HHH196626 HRD196600:HRD196626 IAZ196600:IAZ196626 IKV196600:IKV196626 IUR196600:IUR196626 JEN196600:JEN196626 JOJ196600:JOJ196626 JYF196600:JYF196626 KIB196600:KIB196626 KRX196600:KRX196626 LBT196600:LBT196626 LLP196600:LLP196626 LVL196600:LVL196626 MFH196600:MFH196626 MPD196600:MPD196626 MYZ196600:MYZ196626 NIV196600:NIV196626 NSR196600:NSR196626 OCN196600:OCN196626 OMJ196600:OMJ196626 OWF196600:OWF196626 PGB196600:PGB196626 PPX196600:PPX196626 PZT196600:PZT196626 QJP196600:QJP196626 QTL196600:QTL196626 RDH196600:RDH196626 RND196600:RND196626 RWZ196600:RWZ196626 SGV196600:SGV196626 SQR196600:SQR196626 TAN196600:TAN196626 TKJ196600:TKJ196626 TUF196600:TUF196626 UEB196600:UEB196626 UNX196600:UNX196626 UXT196600:UXT196626 VHP196600:VHP196626 VRL196600:VRL196626 WBH196600:WBH196626 WLD196600:WLD196626 WUZ196600:WUZ196626 E262136:E262162 IN262136:IN262162 SJ262136:SJ262162 ACF262136:ACF262162 AMB262136:AMB262162 AVX262136:AVX262162 BFT262136:BFT262162 BPP262136:BPP262162 BZL262136:BZL262162 CJH262136:CJH262162 CTD262136:CTD262162 DCZ262136:DCZ262162 DMV262136:DMV262162 DWR262136:DWR262162 EGN262136:EGN262162 EQJ262136:EQJ262162 FAF262136:FAF262162 FKB262136:FKB262162 FTX262136:FTX262162 GDT262136:GDT262162 GNP262136:GNP262162 GXL262136:GXL262162 HHH262136:HHH262162 HRD262136:HRD262162 IAZ262136:IAZ262162 IKV262136:IKV262162 IUR262136:IUR262162 JEN262136:JEN262162 JOJ262136:JOJ262162 JYF262136:JYF262162 KIB262136:KIB262162 KRX262136:KRX262162 LBT262136:LBT262162 LLP262136:LLP262162 LVL262136:LVL262162 MFH262136:MFH262162 MPD262136:MPD262162 MYZ262136:MYZ262162 NIV262136:NIV262162 NSR262136:NSR262162 OCN262136:OCN262162 OMJ262136:OMJ262162 OWF262136:OWF262162 PGB262136:PGB262162 PPX262136:PPX262162 PZT262136:PZT262162 QJP262136:QJP262162 QTL262136:QTL262162 RDH262136:RDH262162 RND262136:RND262162 RWZ262136:RWZ262162 SGV262136:SGV262162 SQR262136:SQR262162 TAN262136:TAN262162 TKJ262136:TKJ262162 TUF262136:TUF262162 UEB262136:UEB262162 UNX262136:UNX262162 UXT262136:UXT262162 VHP262136:VHP262162 VRL262136:VRL262162 WBH262136:WBH262162 WLD262136:WLD262162 WUZ262136:WUZ262162 E327672:E327698 IN327672:IN327698 SJ327672:SJ327698 ACF327672:ACF327698 AMB327672:AMB327698 AVX327672:AVX327698 BFT327672:BFT327698 BPP327672:BPP327698 BZL327672:BZL327698 CJH327672:CJH327698 CTD327672:CTD327698 DCZ327672:DCZ327698 DMV327672:DMV327698 DWR327672:DWR327698 EGN327672:EGN327698 EQJ327672:EQJ327698 FAF327672:FAF327698 FKB327672:FKB327698 FTX327672:FTX327698 GDT327672:GDT327698 GNP327672:GNP327698 GXL327672:GXL327698 HHH327672:HHH327698 HRD327672:HRD327698 IAZ327672:IAZ327698 IKV327672:IKV327698 IUR327672:IUR327698 JEN327672:JEN327698 JOJ327672:JOJ327698 JYF327672:JYF327698 KIB327672:KIB327698 KRX327672:KRX327698 LBT327672:LBT327698 LLP327672:LLP327698 LVL327672:LVL327698 MFH327672:MFH327698 MPD327672:MPD327698 MYZ327672:MYZ327698 NIV327672:NIV327698 NSR327672:NSR327698 OCN327672:OCN327698 OMJ327672:OMJ327698 OWF327672:OWF327698 PGB327672:PGB327698 PPX327672:PPX327698 PZT327672:PZT327698 QJP327672:QJP327698 QTL327672:QTL327698 RDH327672:RDH327698 RND327672:RND327698 RWZ327672:RWZ327698 SGV327672:SGV327698 SQR327672:SQR327698 TAN327672:TAN327698 TKJ327672:TKJ327698 TUF327672:TUF327698 UEB327672:UEB327698 UNX327672:UNX327698 UXT327672:UXT327698 VHP327672:VHP327698 VRL327672:VRL327698 WBH327672:WBH327698 WLD327672:WLD327698 WUZ327672:WUZ327698 E393208:E393234 IN393208:IN393234 SJ393208:SJ393234 ACF393208:ACF393234 AMB393208:AMB393234 AVX393208:AVX393234 BFT393208:BFT393234 BPP393208:BPP393234 BZL393208:BZL393234 CJH393208:CJH393234 CTD393208:CTD393234 DCZ393208:DCZ393234 DMV393208:DMV393234 DWR393208:DWR393234 EGN393208:EGN393234 EQJ393208:EQJ393234 FAF393208:FAF393234 FKB393208:FKB393234 FTX393208:FTX393234 GDT393208:GDT393234 GNP393208:GNP393234 GXL393208:GXL393234 HHH393208:HHH393234 HRD393208:HRD393234 IAZ393208:IAZ393234 IKV393208:IKV393234 IUR393208:IUR393234 JEN393208:JEN393234 JOJ393208:JOJ393234 JYF393208:JYF393234 KIB393208:KIB393234 KRX393208:KRX393234 LBT393208:LBT393234 LLP393208:LLP393234 LVL393208:LVL393234 MFH393208:MFH393234 MPD393208:MPD393234 MYZ393208:MYZ393234 NIV393208:NIV393234 NSR393208:NSR393234 OCN393208:OCN393234 OMJ393208:OMJ393234 OWF393208:OWF393234 PGB393208:PGB393234 PPX393208:PPX393234 PZT393208:PZT393234 QJP393208:QJP393234 QTL393208:QTL393234 RDH393208:RDH393234 RND393208:RND393234 RWZ393208:RWZ393234 SGV393208:SGV393234 SQR393208:SQR393234 TAN393208:TAN393234 TKJ393208:TKJ393234 TUF393208:TUF393234 UEB393208:UEB393234 UNX393208:UNX393234 UXT393208:UXT393234 VHP393208:VHP393234 VRL393208:VRL393234 WBH393208:WBH393234 WLD393208:WLD393234 WUZ393208:WUZ393234 E458744:E458770 IN458744:IN458770 SJ458744:SJ458770 ACF458744:ACF458770 AMB458744:AMB458770 AVX458744:AVX458770 BFT458744:BFT458770 BPP458744:BPP458770 BZL458744:BZL458770 CJH458744:CJH458770 CTD458744:CTD458770 DCZ458744:DCZ458770 DMV458744:DMV458770 DWR458744:DWR458770 EGN458744:EGN458770 EQJ458744:EQJ458770 FAF458744:FAF458770 FKB458744:FKB458770 FTX458744:FTX458770 GDT458744:GDT458770 GNP458744:GNP458770 GXL458744:GXL458770 HHH458744:HHH458770 HRD458744:HRD458770 IAZ458744:IAZ458770 IKV458744:IKV458770 IUR458744:IUR458770 JEN458744:JEN458770 JOJ458744:JOJ458770 JYF458744:JYF458770 KIB458744:KIB458770 KRX458744:KRX458770 LBT458744:LBT458770 LLP458744:LLP458770 LVL458744:LVL458770 MFH458744:MFH458770 MPD458744:MPD458770 MYZ458744:MYZ458770 NIV458744:NIV458770 NSR458744:NSR458770 OCN458744:OCN458770 OMJ458744:OMJ458770 OWF458744:OWF458770 PGB458744:PGB458770 PPX458744:PPX458770 PZT458744:PZT458770 QJP458744:QJP458770 QTL458744:QTL458770 RDH458744:RDH458770 RND458744:RND458770 RWZ458744:RWZ458770 SGV458744:SGV458770 SQR458744:SQR458770 TAN458744:TAN458770 TKJ458744:TKJ458770 TUF458744:TUF458770 UEB458744:UEB458770 UNX458744:UNX458770 UXT458744:UXT458770 VHP458744:VHP458770 VRL458744:VRL458770 WBH458744:WBH458770 WLD458744:WLD458770 WUZ458744:WUZ458770 E524280:E524306 IN524280:IN524306 SJ524280:SJ524306 ACF524280:ACF524306 AMB524280:AMB524306 AVX524280:AVX524306 BFT524280:BFT524306 BPP524280:BPP524306 BZL524280:BZL524306 CJH524280:CJH524306 CTD524280:CTD524306 DCZ524280:DCZ524306 DMV524280:DMV524306 DWR524280:DWR524306 EGN524280:EGN524306 EQJ524280:EQJ524306 FAF524280:FAF524306 FKB524280:FKB524306 FTX524280:FTX524306 GDT524280:GDT524306 GNP524280:GNP524306 GXL524280:GXL524306 HHH524280:HHH524306 HRD524280:HRD524306 IAZ524280:IAZ524306 IKV524280:IKV524306 IUR524280:IUR524306 JEN524280:JEN524306 JOJ524280:JOJ524306 JYF524280:JYF524306 KIB524280:KIB524306 KRX524280:KRX524306 LBT524280:LBT524306 LLP524280:LLP524306 LVL524280:LVL524306 MFH524280:MFH524306 MPD524280:MPD524306 MYZ524280:MYZ524306 NIV524280:NIV524306 NSR524280:NSR524306 OCN524280:OCN524306 OMJ524280:OMJ524306 OWF524280:OWF524306 PGB524280:PGB524306 PPX524280:PPX524306 PZT524280:PZT524306 QJP524280:QJP524306 QTL524280:QTL524306 RDH524280:RDH524306 RND524280:RND524306 RWZ524280:RWZ524306 SGV524280:SGV524306 SQR524280:SQR524306 TAN524280:TAN524306 TKJ524280:TKJ524306 TUF524280:TUF524306 UEB524280:UEB524306 UNX524280:UNX524306 UXT524280:UXT524306 VHP524280:VHP524306 VRL524280:VRL524306 WBH524280:WBH524306 WLD524280:WLD524306 WUZ524280:WUZ524306 E589816:E589842 IN589816:IN589842 SJ589816:SJ589842 ACF589816:ACF589842 AMB589816:AMB589842 AVX589816:AVX589842 BFT589816:BFT589842 BPP589816:BPP589842 BZL589816:BZL589842 CJH589816:CJH589842 CTD589816:CTD589842 DCZ589816:DCZ589842 DMV589816:DMV589842 DWR589816:DWR589842 EGN589816:EGN589842 EQJ589816:EQJ589842 FAF589816:FAF589842 FKB589816:FKB589842 FTX589816:FTX589842 GDT589816:GDT589842 GNP589816:GNP589842 GXL589816:GXL589842 HHH589816:HHH589842 HRD589816:HRD589842 IAZ589816:IAZ589842 IKV589816:IKV589842 IUR589816:IUR589842 JEN589816:JEN589842 JOJ589816:JOJ589842 JYF589816:JYF589842 KIB589816:KIB589842 KRX589816:KRX589842 LBT589816:LBT589842 LLP589816:LLP589842 LVL589816:LVL589842 MFH589816:MFH589842 MPD589816:MPD589842 MYZ589816:MYZ589842 NIV589816:NIV589842 NSR589816:NSR589842 OCN589816:OCN589842 OMJ589816:OMJ589842 OWF589816:OWF589842 PGB589816:PGB589842 PPX589816:PPX589842 PZT589816:PZT589842 QJP589816:QJP589842 QTL589816:QTL589842 RDH589816:RDH589842 RND589816:RND589842 RWZ589816:RWZ589842 SGV589816:SGV589842 SQR589816:SQR589842 TAN589816:TAN589842 TKJ589816:TKJ589842 TUF589816:TUF589842 UEB589816:UEB589842 UNX589816:UNX589842 UXT589816:UXT589842 VHP589816:VHP589842 VRL589816:VRL589842 WBH589816:WBH589842 WLD589816:WLD589842 WUZ589816:WUZ589842 E655352:E655378 IN655352:IN655378 SJ655352:SJ655378 ACF655352:ACF655378 AMB655352:AMB655378 AVX655352:AVX655378 BFT655352:BFT655378 BPP655352:BPP655378 BZL655352:BZL655378 CJH655352:CJH655378 CTD655352:CTD655378 DCZ655352:DCZ655378 DMV655352:DMV655378 DWR655352:DWR655378 EGN655352:EGN655378 EQJ655352:EQJ655378 FAF655352:FAF655378 FKB655352:FKB655378 FTX655352:FTX655378 GDT655352:GDT655378 GNP655352:GNP655378 GXL655352:GXL655378 HHH655352:HHH655378 HRD655352:HRD655378 IAZ655352:IAZ655378 IKV655352:IKV655378 IUR655352:IUR655378 JEN655352:JEN655378 JOJ655352:JOJ655378 JYF655352:JYF655378 KIB655352:KIB655378 KRX655352:KRX655378 LBT655352:LBT655378 LLP655352:LLP655378 LVL655352:LVL655378 MFH655352:MFH655378 MPD655352:MPD655378 MYZ655352:MYZ655378 NIV655352:NIV655378 NSR655352:NSR655378 OCN655352:OCN655378 OMJ655352:OMJ655378 OWF655352:OWF655378 PGB655352:PGB655378 PPX655352:PPX655378 PZT655352:PZT655378 QJP655352:QJP655378 QTL655352:QTL655378 RDH655352:RDH655378 RND655352:RND655378 RWZ655352:RWZ655378 SGV655352:SGV655378 SQR655352:SQR655378 TAN655352:TAN655378 TKJ655352:TKJ655378 TUF655352:TUF655378 UEB655352:UEB655378 UNX655352:UNX655378 UXT655352:UXT655378 VHP655352:VHP655378 VRL655352:VRL655378 WBH655352:WBH655378 WLD655352:WLD655378 WUZ655352:WUZ655378 E720888:E720914 IN720888:IN720914 SJ720888:SJ720914 ACF720888:ACF720914 AMB720888:AMB720914 AVX720888:AVX720914 BFT720888:BFT720914 BPP720888:BPP720914 BZL720888:BZL720914 CJH720888:CJH720914 CTD720888:CTD720914 DCZ720888:DCZ720914 DMV720888:DMV720914 DWR720888:DWR720914 EGN720888:EGN720914 EQJ720888:EQJ720914 FAF720888:FAF720914 FKB720888:FKB720914 FTX720888:FTX720914 GDT720888:GDT720914 GNP720888:GNP720914 GXL720888:GXL720914 HHH720888:HHH720914 HRD720888:HRD720914 IAZ720888:IAZ720914 IKV720888:IKV720914 IUR720888:IUR720914 JEN720888:JEN720914 JOJ720888:JOJ720914 JYF720888:JYF720914 KIB720888:KIB720914 KRX720888:KRX720914 LBT720888:LBT720914 LLP720888:LLP720914 LVL720888:LVL720914 MFH720888:MFH720914 MPD720888:MPD720914 MYZ720888:MYZ720914 NIV720888:NIV720914 NSR720888:NSR720914 OCN720888:OCN720914 OMJ720888:OMJ720914 OWF720888:OWF720914 PGB720888:PGB720914 PPX720888:PPX720914 PZT720888:PZT720914 QJP720888:QJP720914 QTL720888:QTL720914 RDH720888:RDH720914 RND720888:RND720914 RWZ720888:RWZ720914 SGV720888:SGV720914 SQR720888:SQR720914 TAN720888:TAN720914 TKJ720888:TKJ720914 TUF720888:TUF720914 UEB720888:UEB720914 UNX720888:UNX720914 UXT720888:UXT720914 VHP720888:VHP720914 VRL720888:VRL720914 WBH720888:WBH720914 WLD720888:WLD720914 WUZ720888:WUZ720914 E786424:E786450 IN786424:IN786450 SJ786424:SJ786450 ACF786424:ACF786450 AMB786424:AMB786450 AVX786424:AVX786450 BFT786424:BFT786450 BPP786424:BPP786450 BZL786424:BZL786450 CJH786424:CJH786450 CTD786424:CTD786450 DCZ786424:DCZ786450 DMV786424:DMV786450 DWR786424:DWR786450 EGN786424:EGN786450 EQJ786424:EQJ786450 FAF786424:FAF786450 FKB786424:FKB786450 FTX786424:FTX786450 GDT786424:GDT786450 GNP786424:GNP786450 GXL786424:GXL786450 HHH786424:HHH786450 HRD786424:HRD786450 IAZ786424:IAZ786450 IKV786424:IKV786450 IUR786424:IUR786450 JEN786424:JEN786450 JOJ786424:JOJ786450 JYF786424:JYF786450 KIB786424:KIB786450 KRX786424:KRX786450 LBT786424:LBT786450 LLP786424:LLP786450 LVL786424:LVL786450 MFH786424:MFH786450 MPD786424:MPD786450 MYZ786424:MYZ786450 NIV786424:NIV786450 NSR786424:NSR786450 OCN786424:OCN786450 OMJ786424:OMJ786450 OWF786424:OWF786450 PGB786424:PGB786450 PPX786424:PPX786450 PZT786424:PZT786450 QJP786424:QJP786450 QTL786424:QTL786450 RDH786424:RDH786450 RND786424:RND786450 RWZ786424:RWZ786450 SGV786424:SGV786450 SQR786424:SQR786450 TAN786424:TAN786450 TKJ786424:TKJ786450 TUF786424:TUF786450 UEB786424:UEB786450 UNX786424:UNX786450 UXT786424:UXT786450 VHP786424:VHP786450 VRL786424:VRL786450 WBH786424:WBH786450 WLD786424:WLD786450 WUZ786424:WUZ786450 E851960:E851986 IN851960:IN851986 SJ851960:SJ851986 ACF851960:ACF851986 AMB851960:AMB851986 AVX851960:AVX851986 BFT851960:BFT851986 BPP851960:BPP851986 BZL851960:BZL851986 CJH851960:CJH851986 CTD851960:CTD851986 DCZ851960:DCZ851986 DMV851960:DMV851986 DWR851960:DWR851986 EGN851960:EGN851986 EQJ851960:EQJ851986 FAF851960:FAF851986 FKB851960:FKB851986 FTX851960:FTX851986 GDT851960:GDT851986 GNP851960:GNP851986 GXL851960:GXL851986 HHH851960:HHH851986 HRD851960:HRD851986 IAZ851960:IAZ851986 IKV851960:IKV851986 IUR851960:IUR851986 JEN851960:JEN851986 JOJ851960:JOJ851986 JYF851960:JYF851986 KIB851960:KIB851986 KRX851960:KRX851986 LBT851960:LBT851986 LLP851960:LLP851986 LVL851960:LVL851986 MFH851960:MFH851986 MPD851960:MPD851986 MYZ851960:MYZ851986 NIV851960:NIV851986 NSR851960:NSR851986 OCN851960:OCN851986 OMJ851960:OMJ851986 OWF851960:OWF851986 PGB851960:PGB851986 PPX851960:PPX851986 PZT851960:PZT851986 QJP851960:QJP851986 QTL851960:QTL851986 RDH851960:RDH851986 RND851960:RND851986 RWZ851960:RWZ851986 SGV851960:SGV851986 SQR851960:SQR851986 TAN851960:TAN851986 TKJ851960:TKJ851986 TUF851960:TUF851986 UEB851960:UEB851986 UNX851960:UNX851986 UXT851960:UXT851986 VHP851960:VHP851986 VRL851960:VRL851986 WBH851960:WBH851986 WLD851960:WLD851986 WUZ851960:WUZ851986 E917496:E917522 IN917496:IN917522 SJ917496:SJ917522 ACF917496:ACF917522 AMB917496:AMB917522 AVX917496:AVX917522 BFT917496:BFT917522 BPP917496:BPP917522 BZL917496:BZL917522 CJH917496:CJH917522 CTD917496:CTD917522 DCZ917496:DCZ917522 DMV917496:DMV917522 DWR917496:DWR917522 EGN917496:EGN917522 EQJ917496:EQJ917522 FAF917496:FAF917522 FKB917496:FKB917522 FTX917496:FTX917522 GDT917496:GDT917522 GNP917496:GNP917522 GXL917496:GXL917522 HHH917496:HHH917522 HRD917496:HRD917522 IAZ917496:IAZ917522 IKV917496:IKV917522 IUR917496:IUR917522 JEN917496:JEN917522 JOJ917496:JOJ917522 JYF917496:JYF917522 KIB917496:KIB917522 KRX917496:KRX917522 LBT917496:LBT917522 LLP917496:LLP917522 LVL917496:LVL917522 MFH917496:MFH917522 MPD917496:MPD917522 MYZ917496:MYZ917522 NIV917496:NIV917522 NSR917496:NSR917522 OCN917496:OCN917522 OMJ917496:OMJ917522 OWF917496:OWF917522 PGB917496:PGB917522 PPX917496:PPX917522 PZT917496:PZT917522 QJP917496:QJP917522 QTL917496:QTL917522 RDH917496:RDH917522 RND917496:RND917522 RWZ917496:RWZ917522 SGV917496:SGV917522 SQR917496:SQR917522 TAN917496:TAN917522 TKJ917496:TKJ917522 TUF917496:TUF917522 UEB917496:UEB917522 UNX917496:UNX917522 UXT917496:UXT917522 VHP917496:VHP917522 VRL917496:VRL917522 WBH917496:WBH917522 WLD917496:WLD917522 WUZ917496:WUZ917522 E983032:E983058 IN983032:IN983058 SJ983032:SJ983058 ACF983032:ACF983058 AMB983032:AMB983058 AVX983032:AVX983058 BFT983032:BFT983058 BPP983032:BPP983058 BZL983032:BZL983058 CJH983032:CJH983058 CTD983032:CTD983058 DCZ983032:DCZ983058 DMV983032:DMV983058 DWR983032:DWR983058 EGN983032:EGN983058 EQJ983032:EQJ983058 FAF983032:FAF983058 FKB983032:FKB983058 FTX983032:FTX983058 GDT983032:GDT983058 GNP983032:GNP983058 GXL983032:GXL983058 HHH983032:HHH983058 HRD983032:HRD983058 IAZ983032:IAZ983058 IKV983032:IKV983058 IUR983032:IUR983058 JEN983032:JEN983058 JOJ983032:JOJ983058 JYF983032:JYF983058 KIB983032:KIB983058 KRX983032:KRX983058 LBT983032:LBT983058 LLP983032:LLP983058 LVL983032:LVL983058 MFH983032:MFH983058 MPD983032:MPD983058 MYZ983032:MYZ983058 NIV983032:NIV983058 NSR983032:NSR983058 OCN983032:OCN983058 OMJ983032:OMJ983058 OWF983032:OWF983058 PGB983032:PGB983058 PPX983032:PPX983058 PZT983032:PZT983058 QJP983032:QJP983058 QTL983032:QTL983058 RDH983032:RDH983058 RND983032:RND983058 RWZ983032:RWZ983058 SGV983032:SGV983058 SQR983032:SQR983058 TAN983032:TAN983058 TKJ983032:TKJ983058 TUF983032:TUF983058 UEB983032:UEB983058 UNX983032:UNX983058 UXT983032:UXT983058 VHP983032:VHP983058 VRL983032:VRL983058 WBH983032:WBH983058 WLD983032:WLD983058 WUZ8:WUZ18 WLD8:WLD18 WBH8:WBH18 VRL8:VRL18 VHP8:VHP18 UXT8:UXT18 UNX8:UNX18 UEB8:UEB18 TUF8:TUF18 TKJ8:TKJ18 TAN8:TAN18 SQR8:SQR18 SGV8:SGV18 RWZ8:RWZ18 RND8:RND18 RDH8:RDH18 QTL8:QTL18 QJP8:QJP18 PZT8:PZT18 PPX8:PPX18 PGB8:PGB18 OWF8:OWF18 OMJ8:OMJ18 OCN8:OCN18 NSR8:NSR18 NIV8:NIV18 MYZ8:MYZ18 MPD8:MPD18 MFH8:MFH18 LVL8:LVL18 LLP8:LLP18 LBT8:LBT18 KRX8:KRX18 KIB8:KIB18 JYF8:JYF18 JOJ8:JOJ18 JEN8:JEN18 IUR8:IUR18 IKV8:IKV18 IAZ8:IAZ18 HRD8:HRD18 HHH8:HHH18 GXL8:GXL18 GNP8:GNP18 GDT8:GDT18 FTX8:FTX18 FKB8:FKB18 FAF8:FAF18 EQJ8:EQJ18 EGN8:EGN18 DWR8:DWR18 DMV8:DMV18 DCZ8:DCZ18 CTD8:CTD18 CJH8:CJH18 BZL8:BZL18 BPP8:BPP18 BFT8:BFT18 AVX8:AVX18 AMB8:AMB18 ACF8:ACF18 SJ8:SJ18 IN8:IN18" xr:uid="{1EBA541F-A398-467B-AC39-BFBF555AF0FE}">
      <formula1>"Desenvolvimento, Infra-estrutura"</formula1>
    </dataValidation>
    <dataValidation type="decimal" operator="greaterThanOrEqual" allowBlank="1" showInputMessage="1" showErrorMessage="1" sqref="G65528:G65554 IP65528:IP65554 SL65528:SL65554 ACH65528:ACH65554 AMD65528:AMD65554 AVZ65528:AVZ65554 BFV65528:BFV65554 BPR65528:BPR65554 BZN65528:BZN65554 CJJ65528:CJJ65554 CTF65528:CTF65554 DDB65528:DDB65554 DMX65528:DMX65554 DWT65528:DWT65554 EGP65528:EGP65554 EQL65528:EQL65554 FAH65528:FAH65554 FKD65528:FKD65554 FTZ65528:FTZ65554 GDV65528:GDV65554 GNR65528:GNR65554 GXN65528:GXN65554 HHJ65528:HHJ65554 HRF65528:HRF65554 IBB65528:IBB65554 IKX65528:IKX65554 IUT65528:IUT65554 JEP65528:JEP65554 JOL65528:JOL65554 JYH65528:JYH65554 KID65528:KID65554 KRZ65528:KRZ65554 LBV65528:LBV65554 LLR65528:LLR65554 LVN65528:LVN65554 MFJ65528:MFJ65554 MPF65528:MPF65554 MZB65528:MZB65554 NIX65528:NIX65554 NST65528:NST65554 OCP65528:OCP65554 OML65528:OML65554 OWH65528:OWH65554 PGD65528:PGD65554 PPZ65528:PPZ65554 PZV65528:PZV65554 QJR65528:QJR65554 QTN65528:QTN65554 RDJ65528:RDJ65554 RNF65528:RNF65554 RXB65528:RXB65554 SGX65528:SGX65554 SQT65528:SQT65554 TAP65528:TAP65554 TKL65528:TKL65554 TUH65528:TUH65554 UED65528:UED65554 UNZ65528:UNZ65554 UXV65528:UXV65554 VHR65528:VHR65554 VRN65528:VRN65554 WBJ65528:WBJ65554 WLF65528:WLF65554 WVB65528:WVB65554 G131064:G131090 IP131064:IP131090 SL131064:SL131090 ACH131064:ACH131090 AMD131064:AMD131090 AVZ131064:AVZ131090 BFV131064:BFV131090 BPR131064:BPR131090 BZN131064:BZN131090 CJJ131064:CJJ131090 CTF131064:CTF131090 DDB131064:DDB131090 DMX131064:DMX131090 DWT131064:DWT131090 EGP131064:EGP131090 EQL131064:EQL131090 FAH131064:FAH131090 FKD131064:FKD131090 FTZ131064:FTZ131090 GDV131064:GDV131090 GNR131064:GNR131090 GXN131064:GXN131090 HHJ131064:HHJ131090 HRF131064:HRF131090 IBB131064:IBB131090 IKX131064:IKX131090 IUT131064:IUT131090 JEP131064:JEP131090 JOL131064:JOL131090 JYH131064:JYH131090 KID131064:KID131090 KRZ131064:KRZ131090 LBV131064:LBV131090 LLR131064:LLR131090 LVN131064:LVN131090 MFJ131064:MFJ131090 MPF131064:MPF131090 MZB131064:MZB131090 NIX131064:NIX131090 NST131064:NST131090 OCP131064:OCP131090 OML131064:OML131090 OWH131064:OWH131090 PGD131064:PGD131090 PPZ131064:PPZ131090 PZV131064:PZV131090 QJR131064:QJR131090 QTN131064:QTN131090 RDJ131064:RDJ131090 RNF131064:RNF131090 RXB131064:RXB131090 SGX131064:SGX131090 SQT131064:SQT131090 TAP131064:TAP131090 TKL131064:TKL131090 TUH131064:TUH131090 UED131064:UED131090 UNZ131064:UNZ131090 UXV131064:UXV131090 VHR131064:VHR131090 VRN131064:VRN131090 WBJ131064:WBJ131090 WLF131064:WLF131090 WVB131064:WVB131090 G196600:G196626 IP196600:IP196626 SL196600:SL196626 ACH196600:ACH196626 AMD196600:AMD196626 AVZ196600:AVZ196626 BFV196600:BFV196626 BPR196600:BPR196626 BZN196600:BZN196626 CJJ196600:CJJ196626 CTF196600:CTF196626 DDB196600:DDB196626 DMX196600:DMX196626 DWT196600:DWT196626 EGP196600:EGP196626 EQL196600:EQL196626 FAH196600:FAH196626 FKD196600:FKD196626 FTZ196600:FTZ196626 GDV196600:GDV196626 GNR196600:GNR196626 GXN196600:GXN196626 HHJ196600:HHJ196626 HRF196600:HRF196626 IBB196600:IBB196626 IKX196600:IKX196626 IUT196600:IUT196626 JEP196600:JEP196626 JOL196600:JOL196626 JYH196600:JYH196626 KID196600:KID196626 KRZ196600:KRZ196626 LBV196600:LBV196626 LLR196600:LLR196626 LVN196600:LVN196626 MFJ196600:MFJ196626 MPF196600:MPF196626 MZB196600:MZB196626 NIX196600:NIX196626 NST196600:NST196626 OCP196600:OCP196626 OML196600:OML196626 OWH196600:OWH196626 PGD196600:PGD196626 PPZ196600:PPZ196626 PZV196600:PZV196626 QJR196600:QJR196626 QTN196600:QTN196626 RDJ196600:RDJ196626 RNF196600:RNF196626 RXB196600:RXB196626 SGX196600:SGX196626 SQT196600:SQT196626 TAP196600:TAP196626 TKL196600:TKL196626 TUH196600:TUH196626 UED196600:UED196626 UNZ196600:UNZ196626 UXV196600:UXV196626 VHR196600:VHR196626 VRN196600:VRN196626 WBJ196600:WBJ196626 WLF196600:WLF196626 WVB196600:WVB196626 G262136:G262162 IP262136:IP262162 SL262136:SL262162 ACH262136:ACH262162 AMD262136:AMD262162 AVZ262136:AVZ262162 BFV262136:BFV262162 BPR262136:BPR262162 BZN262136:BZN262162 CJJ262136:CJJ262162 CTF262136:CTF262162 DDB262136:DDB262162 DMX262136:DMX262162 DWT262136:DWT262162 EGP262136:EGP262162 EQL262136:EQL262162 FAH262136:FAH262162 FKD262136:FKD262162 FTZ262136:FTZ262162 GDV262136:GDV262162 GNR262136:GNR262162 GXN262136:GXN262162 HHJ262136:HHJ262162 HRF262136:HRF262162 IBB262136:IBB262162 IKX262136:IKX262162 IUT262136:IUT262162 JEP262136:JEP262162 JOL262136:JOL262162 JYH262136:JYH262162 KID262136:KID262162 KRZ262136:KRZ262162 LBV262136:LBV262162 LLR262136:LLR262162 LVN262136:LVN262162 MFJ262136:MFJ262162 MPF262136:MPF262162 MZB262136:MZB262162 NIX262136:NIX262162 NST262136:NST262162 OCP262136:OCP262162 OML262136:OML262162 OWH262136:OWH262162 PGD262136:PGD262162 PPZ262136:PPZ262162 PZV262136:PZV262162 QJR262136:QJR262162 QTN262136:QTN262162 RDJ262136:RDJ262162 RNF262136:RNF262162 RXB262136:RXB262162 SGX262136:SGX262162 SQT262136:SQT262162 TAP262136:TAP262162 TKL262136:TKL262162 TUH262136:TUH262162 UED262136:UED262162 UNZ262136:UNZ262162 UXV262136:UXV262162 VHR262136:VHR262162 VRN262136:VRN262162 WBJ262136:WBJ262162 WLF262136:WLF262162 WVB262136:WVB262162 G327672:G327698 IP327672:IP327698 SL327672:SL327698 ACH327672:ACH327698 AMD327672:AMD327698 AVZ327672:AVZ327698 BFV327672:BFV327698 BPR327672:BPR327698 BZN327672:BZN327698 CJJ327672:CJJ327698 CTF327672:CTF327698 DDB327672:DDB327698 DMX327672:DMX327698 DWT327672:DWT327698 EGP327672:EGP327698 EQL327672:EQL327698 FAH327672:FAH327698 FKD327672:FKD327698 FTZ327672:FTZ327698 GDV327672:GDV327698 GNR327672:GNR327698 GXN327672:GXN327698 HHJ327672:HHJ327698 HRF327672:HRF327698 IBB327672:IBB327698 IKX327672:IKX327698 IUT327672:IUT327698 JEP327672:JEP327698 JOL327672:JOL327698 JYH327672:JYH327698 KID327672:KID327698 KRZ327672:KRZ327698 LBV327672:LBV327698 LLR327672:LLR327698 LVN327672:LVN327698 MFJ327672:MFJ327698 MPF327672:MPF327698 MZB327672:MZB327698 NIX327672:NIX327698 NST327672:NST327698 OCP327672:OCP327698 OML327672:OML327698 OWH327672:OWH327698 PGD327672:PGD327698 PPZ327672:PPZ327698 PZV327672:PZV327698 QJR327672:QJR327698 QTN327672:QTN327698 RDJ327672:RDJ327698 RNF327672:RNF327698 RXB327672:RXB327698 SGX327672:SGX327698 SQT327672:SQT327698 TAP327672:TAP327698 TKL327672:TKL327698 TUH327672:TUH327698 UED327672:UED327698 UNZ327672:UNZ327698 UXV327672:UXV327698 VHR327672:VHR327698 VRN327672:VRN327698 WBJ327672:WBJ327698 WLF327672:WLF327698 WVB327672:WVB327698 G393208:G393234 IP393208:IP393234 SL393208:SL393234 ACH393208:ACH393234 AMD393208:AMD393234 AVZ393208:AVZ393234 BFV393208:BFV393234 BPR393208:BPR393234 BZN393208:BZN393234 CJJ393208:CJJ393234 CTF393208:CTF393234 DDB393208:DDB393234 DMX393208:DMX393234 DWT393208:DWT393234 EGP393208:EGP393234 EQL393208:EQL393234 FAH393208:FAH393234 FKD393208:FKD393234 FTZ393208:FTZ393234 GDV393208:GDV393234 GNR393208:GNR393234 GXN393208:GXN393234 HHJ393208:HHJ393234 HRF393208:HRF393234 IBB393208:IBB393234 IKX393208:IKX393234 IUT393208:IUT393234 JEP393208:JEP393234 JOL393208:JOL393234 JYH393208:JYH393234 KID393208:KID393234 KRZ393208:KRZ393234 LBV393208:LBV393234 LLR393208:LLR393234 LVN393208:LVN393234 MFJ393208:MFJ393234 MPF393208:MPF393234 MZB393208:MZB393234 NIX393208:NIX393234 NST393208:NST393234 OCP393208:OCP393234 OML393208:OML393234 OWH393208:OWH393234 PGD393208:PGD393234 PPZ393208:PPZ393234 PZV393208:PZV393234 QJR393208:QJR393234 QTN393208:QTN393234 RDJ393208:RDJ393234 RNF393208:RNF393234 RXB393208:RXB393234 SGX393208:SGX393234 SQT393208:SQT393234 TAP393208:TAP393234 TKL393208:TKL393234 TUH393208:TUH393234 UED393208:UED393234 UNZ393208:UNZ393234 UXV393208:UXV393234 VHR393208:VHR393234 VRN393208:VRN393234 WBJ393208:WBJ393234 WLF393208:WLF393234 WVB393208:WVB393234 G458744:G458770 IP458744:IP458770 SL458744:SL458770 ACH458744:ACH458770 AMD458744:AMD458770 AVZ458744:AVZ458770 BFV458744:BFV458770 BPR458744:BPR458770 BZN458744:BZN458770 CJJ458744:CJJ458770 CTF458744:CTF458770 DDB458744:DDB458770 DMX458744:DMX458770 DWT458744:DWT458770 EGP458744:EGP458770 EQL458744:EQL458770 FAH458744:FAH458770 FKD458744:FKD458770 FTZ458744:FTZ458770 GDV458744:GDV458770 GNR458744:GNR458770 GXN458744:GXN458770 HHJ458744:HHJ458770 HRF458744:HRF458770 IBB458744:IBB458770 IKX458744:IKX458770 IUT458744:IUT458770 JEP458744:JEP458770 JOL458744:JOL458770 JYH458744:JYH458770 KID458744:KID458770 KRZ458744:KRZ458770 LBV458744:LBV458770 LLR458744:LLR458770 LVN458744:LVN458770 MFJ458744:MFJ458770 MPF458744:MPF458770 MZB458744:MZB458770 NIX458744:NIX458770 NST458744:NST458770 OCP458744:OCP458770 OML458744:OML458770 OWH458744:OWH458770 PGD458744:PGD458770 PPZ458744:PPZ458770 PZV458744:PZV458770 QJR458744:QJR458770 QTN458744:QTN458770 RDJ458744:RDJ458770 RNF458744:RNF458770 RXB458744:RXB458770 SGX458744:SGX458770 SQT458744:SQT458770 TAP458744:TAP458770 TKL458744:TKL458770 TUH458744:TUH458770 UED458744:UED458770 UNZ458744:UNZ458770 UXV458744:UXV458770 VHR458744:VHR458770 VRN458744:VRN458770 WBJ458744:WBJ458770 WLF458744:WLF458770 WVB458744:WVB458770 G524280:G524306 IP524280:IP524306 SL524280:SL524306 ACH524280:ACH524306 AMD524280:AMD524306 AVZ524280:AVZ524306 BFV524280:BFV524306 BPR524280:BPR524306 BZN524280:BZN524306 CJJ524280:CJJ524306 CTF524280:CTF524306 DDB524280:DDB524306 DMX524280:DMX524306 DWT524280:DWT524306 EGP524280:EGP524306 EQL524280:EQL524306 FAH524280:FAH524306 FKD524280:FKD524306 FTZ524280:FTZ524306 GDV524280:GDV524306 GNR524280:GNR524306 GXN524280:GXN524306 HHJ524280:HHJ524306 HRF524280:HRF524306 IBB524280:IBB524306 IKX524280:IKX524306 IUT524280:IUT524306 JEP524280:JEP524306 JOL524280:JOL524306 JYH524280:JYH524306 KID524280:KID524306 KRZ524280:KRZ524306 LBV524280:LBV524306 LLR524280:LLR524306 LVN524280:LVN524306 MFJ524280:MFJ524306 MPF524280:MPF524306 MZB524280:MZB524306 NIX524280:NIX524306 NST524280:NST524306 OCP524280:OCP524306 OML524280:OML524306 OWH524280:OWH524306 PGD524280:PGD524306 PPZ524280:PPZ524306 PZV524280:PZV524306 QJR524280:QJR524306 QTN524280:QTN524306 RDJ524280:RDJ524306 RNF524280:RNF524306 RXB524280:RXB524306 SGX524280:SGX524306 SQT524280:SQT524306 TAP524280:TAP524306 TKL524280:TKL524306 TUH524280:TUH524306 UED524280:UED524306 UNZ524280:UNZ524306 UXV524280:UXV524306 VHR524280:VHR524306 VRN524280:VRN524306 WBJ524280:WBJ524306 WLF524280:WLF524306 WVB524280:WVB524306 G589816:G589842 IP589816:IP589842 SL589816:SL589842 ACH589816:ACH589842 AMD589816:AMD589842 AVZ589816:AVZ589842 BFV589816:BFV589842 BPR589816:BPR589842 BZN589816:BZN589842 CJJ589816:CJJ589842 CTF589816:CTF589842 DDB589816:DDB589842 DMX589816:DMX589842 DWT589816:DWT589842 EGP589816:EGP589842 EQL589816:EQL589842 FAH589816:FAH589842 FKD589816:FKD589842 FTZ589816:FTZ589842 GDV589816:GDV589842 GNR589816:GNR589842 GXN589816:GXN589842 HHJ589816:HHJ589842 HRF589816:HRF589842 IBB589816:IBB589842 IKX589816:IKX589842 IUT589816:IUT589842 JEP589816:JEP589842 JOL589816:JOL589842 JYH589816:JYH589842 KID589816:KID589842 KRZ589816:KRZ589842 LBV589816:LBV589842 LLR589816:LLR589842 LVN589816:LVN589842 MFJ589816:MFJ589842 MPF589816:MPF589842 MZB589816:MZB589842 NIX589816:NIX589842 NST589816:NST589842 OCP589816:OCP589842 OML589816:OML589842 OWH589816:OWH589842 PGD589816:PGD589842 PPZ589816:PPZ589842 PZV589816:PZV589842 QJR589816:QJR589842 QTN589816:QTN589842 RDJ589816:RDJ589842 RNF589816:RNF589842 RXB589816:RXB589842 SGX589816:SGX589842 SQT589816:SQT589842 TAP589816:TAP589842 TKL589816:TKL589842 TUH589816:TUH589842 UED589816:UED589842 UNZ589816:UNZ589842 UXV589816:UXV589842 VHR589816:VHR589842 VRN589816:VRN589842 WBJ589816:WBJ589842 WLF589816:WLF589842 WVB589816:WVB589842 G655352:G655378 IP655352:IP655378 SL655352:SL655378 ACH655352:ACH655378 AMD655352:AMD655378 AVZ655352:AVZ655378 BFV655352:BFV655378 BPR655352:BPR655378 BZN655352:BZN655378 CJJ655352:CJJ655378 CTF655352:CTF655378 DDB655352:DDB655378 DMX655352:DMX655378 DWT655352:DWT655378 EGP655352:EGP655378 EQL655352:EQL655378 FAH655352:FAH655378 FKD655352:FKD655378 FTZ655352:FTZ655378 GDV655352:GDV655378 GNR655352:GNR655378 GXN655352:GXN655378 HHJ655352:HHJ655378 HRF655352:HRF655378 IBB655352:IBB655378 IKX655352:IKX655378 IUT655352:IUT655378 JEP655352:JEP655378 JOL655352:JOL655378 JYH655352:JYH655378 KID655352:KID655378 KRZ655352:KRZ655378 LBV655352:LBV655378 LLR655352:LLR655378 LVN655352:LVN655378 MFJ655352:MFJ655378 MPF655352:MPF655378 MZB655352:MZB655378 NIX655352:NIX655378 NST655352:NST655378 OCP655352:OCP655378 OML655352:OML655378 OWH655352:OWH655378 PGD655352:PGD655378 PPZ655352:PPZ655378 PZV655352:PZV655378 QJR655352:QJR655378 QTN655352:QTN655378 RDJ655352:RDJ655378 RNF655352:RNF655378 RXB655352:RXB655378 SGX655352:SGX655378 SQT655352:SQT655378 TAP655352:TAP655378 TKL655352:TKL655378 TUH655352:TUH655378 UED655352:UED655378 UNZ655352:UNZ655378 UXV655352:UXV655378 VHR655352:VHR655378 VRN655352:VRN655378 WBJ655352:WBJ655378 WLF655352:WLF655378 WVB655352:WVB655378 G720888:G720914 IP720888:IP720914 SL720888:SL720914 ACH720888:ACH720914 AMD720888:AMD720914 AVZ720888:AVZ720914 BFV720888:BFV720914 BPR720888:BPR720914 BZN720888:BZN720914 CJJ720888:CJJ720914 CTF720888:CTF720914 DDB720888:DDB720914 DMX720888:DMX720914 DWT720888:DWT720914 EGP720888:EGP720914 EQL720888:EQL720914 FAH720888:FAH720914 FKD720888:FKD720914 FTZ720888:FTZ720914 GDV720888:GDV720914 GNR720888:GNR720914 GXN720888:GXN720914 HHJ720888:HHJ720914 HRF720888:HRF720914 IBB720888:IBB720914 IKX720888:IKX720914 IUT720888:IUT720914 JEP720888:JEP720914 JOL720888:JOL720914 JYH720888:JYH720914 KID720888:KID720914 KRZ720888:KRZ720914 LBV720888:LBV720914 LLR720888:LLR720914 LVN720888:LVN720914 MFJ720888:MFJ720914 MPF720888:MPF720914 MZB720888:MZB720914 NIX720888:NIX720914 NST720888:NST720914 OCP720888:OCP720914 OML720888:OML720914 OWH720888:OWH720914 PGD720888:PGD720914 PPZ720888:PPZ720914 PZV720888:PZV720914 QJR720888:QJR720914 QTN720888:QTN720914 RDJ720888:RDJ720914 RNF720888:RNF720914 RXB720888:RXB720914 SGX720888:SGX720914 SQT720888:SQT720914 TAP720888:TAP720914 TKL720888:TKL720914 TUH720888:TUH720914 UED720888:UED720914 UNZ720888:UNZ720914 UXV720888:UXV720914 VHR720888:VHR720914 VRN720888:VRN720914 WBJ720888:WBJ720914 WLF720888:WLF720914 WVB720888:WVB720914 G786424:G786450 IP786424:IP786450 SL786424:SL786450 ACH786424:ACH786450 AMD786424:AMD786450 AVZ786424:AVZ786450 BFV786424:BFV786450 BPR786424:BPR786450 BZN786424:BZN786450 CJJ786424:CJJ786450 CTF786424:CTF786450 DDB786424:DDB786450 DMX786424:DMX786450 DWT786424:DWT786450 EGP786424:EGP786450 EQL786424:EQL786450 FAH786424:FAH786450 FKD786424:FKD786450 FTZ786424:FTZ786450 GDV786424:GDV786450 GNR786424:GNR786450 GXN786424:GXN786450 HHJ786424:HHJ786450 HRF786424:HRF786450 IBB786424:IBB786450 IKX786424:IKX786450 IUT786424:IUT786450 JEP786424:JEP786450 JOL786424:JOL786450 JYH786424:JYH786450 KID786424:KID786450 KRZ786424:KRZ786450 LBV786424:LBV786450 LLR786424:LLR786450 LVN786424:LVN786450 MFJ786424:MFJ786450 MPF786424:MPF786450 MZB786424:MZB786450 NIX786424:NIX786450 NST786424:NST786450 OCP786424:OCP786450 OML786424:OML786450 OWH786424:OWH786450 PGD786424:PGD786450 PPZ786424:PPZ786450 PZV786424:PZV786450 QJR786424:QJR786450 QTN786424:QTN786450 RDJ786424:RDJ786450 RNF786424:RNF786450 RXB786424:RXB786450 SGX786424:SGX786450 SQT786424:SQT786450 TAP786424:TAP786450 TKL786424:TKL786450 TUH786424:TUH786450 UED786424:UED786450 UNZ786424:UNZ786450 UXV786424:UXV786450 VHR786424:VHR786450 VRN786424:VRN786450 WBJ786424:WBJ786450 WLF786424:WLF786450 WVB786424:WVB786450 G851960:G851986 IP851960:IP851986 SL851960:SL851986 ACH851960:ACH851986 AMD851960:AMD851986 AVZ851960:AVZ851986 BFV851960:BFV851986 BPR851960:BPR851986 BZN851960:BZN851986 CJJ851960:CJJ851986 CTF851960:CTF851986 DDB851960:DDB851986 DMX851960:DMX851986 DWT851960:DWT851986 EGP851960:EGP851986 EQL851960:EQL851986 FAH851960:FAH851986 FKD851960:FKD851986 FTZ851960:FTZ851986 GDV851960:GDV851986 GNR851960:GNR851986 GXN851960:GXN851986 HHJ851960:HHJ851986 HRF851960:HRF851986 IBB851960:IBB851986 IKX851960:IKX851986 IUT851960:IUT851986 JEP851960:JEP851986 JOL851960:JOL851986 JYH851960:JYH851986 KID851960:KID851986 KRZ851960:KRZ851986 LBV851960:LBV851986 LLR851960:LLR851986 LVN851960:LVN851986 MFJ851960:MFJ851986 MPF851960:MPF851986 MZB851960:MZB851986 NIX851960:NIX851986 NST851960:NST851986 OCP851960:OCP851986 OML851960:OML851986 OWH851960:OWH851986 PGD851960:PGD851986 PPZ851960:PPZ851986 PZV851960:PZV851986 QJR851960:QJR851986 QTN851960:QTN851986 RDJ851960:RDJ851986 RNF851960:RNF851986 RXB851960:RXB851986 SGX851960:SGX851986 SQT851960:SQT851986 TAP851960:TAP851986 TKL851960:TKL851986 TUH851960:TUH851986 UED851960:UED851986 UNZ851960:UNZ851986 UXV851960:UXV851986 VHR851960:VHR851986 VRN851960:VRN851986 WBJ851960:WBJ851986 WLF851960:WLF851986 WVB851960:WVB851986 G917496:G917522 IP917496:IP917522 SL917496:SL917522 ACH917496:ACH917522 AMD917496:AMD917522 AVZ917496:AVZ917522 BFV917496:BFV917522 BPR917496:BPR917522 BZN917496:BZN917522 CJJ917496:CJJ917522 CTF917496:CTF917522 DDB917496:DDB917522 DMX917496:DMX917522 DWT917496:DWT917522 EGP917496:EGP917522 EQL917496:EQL917522 FAH917496:FAH917522 FKD917496:FKD917522 FTZ917496:FTZ917522 GDV917496:GDV917522 GNR917496:GNR917522 GXN917496:GXN917522 HHJ917496:HHJ917522 HRF917496:HRF917522 IBB917496:IBB917522 IKX917496:IKX917522 IUT917496:IUT917522 JEP917496:JEP917522 JOL917496:JOL917522 JYH917496:JYH917522 KID917496:KID917522 KRZ917496:KRZ917522 LBV917496:LBV917522 LLR917496:LLR917522 LVN917496:LVN917522 MFJ917496:MFJ917522 MPF917496:MPF917522 MZB917496:MZB917522 NIX917496:NIX917522 NST917496:NST917522 OCP917496:OCP917522 OML917496:OML917522 OWH917496:OWH917522 PGD917496:PGD917522 PPZ917496:PPZ917522 PZV917496:PZV917522 QJR917496:QJR917522 QTN917496:QTN917522 RDJ917496:RDJ917522 RNF917496:RNF917522 RXB917496:RXB917522 SGX917496:SGX917522 SQT917496:SQT917522 TAP917496:TAP917522 TKL917496:TKL917522 TUH917496:TUH917522 UED917496:UED917522 UNZ917496:UNZ917522 UXV917496:UXV917522 VHR917496:VHR917522 VRN917496:VRN917522 WBJ917496:WBJ917522 WLF917496:WLF917522 WVB917496:WVB917522 G983032:G983058 IP983032:IP983058 SL983032:SL983058 ACH983032:ACH983058 AMD983032:AMD983058 AVZ983032:AVZ983058 BFV983032:BFV983058 BPR983032:BPR983058 BZN983032:BZN983058 CJJ983032:CJJ983058 CTF983032:CTF983058 DDB983032:DDB983058 DMX983032:DMX983058 DWT983032:DWT983058 EGP983032:EGP983058 EQL983032:EQL983058 FAH983032:FAH983058 FKD983032:FKD983058 FTZ983032:FTZ983058 GDV983032:GDV983058 GNR983032:GNR983058 GXN983032:GXN983058 HHJ983032:HHJ983058 HRF983032:HRF983058 IBB983032:IBB983058 IKX983032:IKX983058 IUT983032:IUT983058 JEP983032:JEP983058 JOL983032:JOL983058 JYH983032:JYH983058 KID983032:KID983058 KRZ983032:KRZ983058 LBV983032:LBV983058 LLR983032:LLR983058 LVN983032:LVN983058 MFJ983032:MFJ983058 MPF983032:MPF983058 MZB983032:MZB983058 NIX983032:NIX983058 NST983032:NST983058 OCP983032:OCP983058 OML983032:OML983058 OWH983032:OWH983058 PGD983032:PGD983058 PPZ983032:PPZ983058 PZV983032:PZV983058 QJR983032:QJR983058 QTN983032:QTN983058 RDJ983032:RDJ983058 RNF983032:RNF983058 RXB983032:RXB983058 SGX983032:SGX983058 SQT983032:SQT983058 TAP983032:TAP983058 TKL983032:TKL983058 TUH983032:TUH983058 UED983032:UED983058 UNZ983032:UNZ983058 UXV983032:UXV983058 VHR983032:VHR983058 VRN983032:VRN983058 WBJ983032:WBJ983058 WLF983032:WLF983058 WVB983032:WVB983058 K65528:K65554 IT65528:IT65554 SP65528:SP65554 ACL65528:ACL65554 AMH65528:AMH65554 AWD65528:AWD65554 BFZ65528:BFZ65554 BPV65528:BPV65554 BZR65528:BZR65554 CJN65528:CJN65554 CTJ65528:CTJ65554 DDF65528:DDF65554 DNB65528:DNB65554 DWX65528:DWX65554 EGT65528:EGT65554 EQP65528:EQP65554 FAL65528:FAL65554 FKH65528:FKH65554 FUD65528:FUD65554 GDZ65528:GDZ65554 GNV65528:GNV65554 GXR65528:GXR65554 HHN65528:HHN65554 HRJ65528:HRJ65554 IBF65528:IBF65554 ILB65528:ILB65554 IUX65528:IUX65554 JET65528:JET65554 JOP65528:JOP65554 JYL65528:JYL65554 KIH65528:KIH65554 KSD65528:KSD65554 LBZ65528:LBZ65554 LLV65528:LLV65554 LVR65528:LVR65554 MFN65528:MFN65554 MPJ65528:MPJ65554 MZF65528:MZF65554 NJB65528:NJB65554 NSX65528:NSX65554 OCT65528:OCT65554 OMP65528:OMP65554 OWL65528:OWL65554 PGH65528:PGH65554 PQD65528:PQD65554 PZZ65528:PZZ65554 QJV65528:QJV65554 QTR65528:QTR65554 RDN65528:RDN65554 RNJ65528:RNJ65554 RXF65528:RXF65554 SHB65528:SHB65554 SQX65528:SQX65554 TAT65528:TAT65554 TKP65528:TKP65554 TUL65528:TUL65554 UEH65528:UEH65554 UOD65528:UOD65554 UXZ65528:UXZ65554 VHV65528:VHV65554 VRR65528:VRR65554 WBN65528:WBN65554 WLJ65528:WLJ65554 WVF65528:WVF65554 K131064:K131090 IT131064:IT131090 SP131064:SP131090 ACL131064:ACL131090 AMH131064:AMH131090 AWD131064:AWD131090 BFZ131064:BFZ131090 BPV131064:BPV131090 BZR131064:BZR131090 CJN131064:CJN131090 CTJ131064:CTJ131090 DDF131064:DDF131090 DNB131064:DNB131090 DWX131064:DWX131090 EGT131064:EGT131090 EQP131064:EQP131090 FAL131064:FAL131090 FKH131064:FKH131090 FUD131064:FUD131090 GDZ131064:GDZ131090 GNV131064:GNV131090 GXR131064:GXR131090 HHN131064:HHN131090 HRJ131064:HRJ131090 IBF131064:IBF131090 ILB131064:ILB131090 IUX131064:IUX131090 JET131064:JET131090 JOP131064:JOP131090 JYL131064:JYL131090 KIH131064:KIH131090 KSD131064:KSD131090 LBZ131064:LBZ131090 LLV131064:LLV131090 LVR131064:LVR131090 MFN131064:MFN131090 MPJ131064:MPJ131090 MZF131064:MZF131090 NJB131064:NJB131090 NSX131064:NSX131090 OCT131064:OCT131090 OMP131064:OMP131090 OWL131064:OWL131090 PGH131064:PGH131090 PQD131064:PQD131090 PZZ131064:PZZ131090 QJV131064:QJV131090 QTR131064:QTR131090 RDN131064:RDN131090 RNJ131064:RNJ131090 RXF131064:RXF131090 SHB131064:SHB131090 SQX131064:SQX131090 TAT131064:TAT131090 TKP131064:TKP131090 TUL131064:TUL131090 UEH131064:UEH131090 UOD131064:UOD131090 UXZ131064:UXZ131090 VHV131064:VHV131090 VRR131064:VRR131090 WBN131064:WBN131090 WLJ131064:WLJ131090 WVF131064:WVF131090 K196600:K196626 IT196600:IT196626 SP196600:SP196626 ACL196600:ACL196626 AMH196600:AMH196626 AWD196600:AWD196626 BFZ196600:BFZ196626 BPV196600:BPV196626 BZR196600:BZR196626 CJN196600:CJN196626 CTJ196600:CTJ196626 DDF196600:DDF196626 DNB196600:DNB196626 DWX196600:DWX196626 EGT196600:EGT196626 EQP196600:EQP196626 FAL196600:FAL196626 FKH196600:FKH196626 FUD196600:FUD196626 GDZ196600:GDZ196626 GNV196600:GNV196626 GXR196600:GXR196626 HHN196600:HHN196626 HRJ196600:HRJ196626 IBF196600:IBF196626 ILB196600:ILB196626 IUX196600:IUX196626 JET196600:JET196626 JOP196600:JOP196626 JYL196600:JYL196626 KIH196600:KIH196626 KSD196600:KSD196626 LBZ196600:LBZ196626 LLV196600:LLV196626 LVR196600:LVR196626 MFN196600:MFN196626 MPJ196600:MPJ196626 MZF196600:MZF196626 NJB196600:NJB196626 NSX196600:NSX196626 OCT196600:OCT196626 OMP196600:OMP196626 OWL196600:OWL196626 PGH196600:PGH196626 PQD196600:PQD196626 PZZ196600:PZZ196626 QJV196600:QJV196626 QTR196600:QTR196626 RDN196600:RDN196626 RNJ196600:RNJ196626 RXF196600:RXF196626 SHB196600:SHB196626 SQX196600:SQX196626 TAT196600:TAT196626 TKP196600:TKP196626 TUL196600:TUL196626 UEH196600:UEH196626 UOD196600:UOD196626 UXZ196600:UXZ196626 VHV196600:VHV196626 VRR196600:VRR196626 WBN196600:WBN196626 WLJ196600:WLJ196626 WVF196600:WVF196626 K262136:K262162 IT262136:IT262162 SP262136:SP262162 ACL262136:ACL262162 AMH262136:AMH262162 AWD262136:AWD262162 BFZ262136:BFZ262162 BPV262136:BPV262162 BZR262136:BZR262162 CJN262136:CJN262162 CTJ262136:CTJ262162 DDF262136:DDF262162 DNB262136:DNB262162 DWX262136:DWX262162 EGT262136:EGT262162 EQP262136:EQP262162 FAL262136:FAL262162 FKH262136:FKH262162 FUD262136:FUD262162 GDZ262136:GDZ262162 GNV262136:GNV262162 GXR262136:GXR262162 HHN262136:HHN262162 HRJ262136:HRJ262162 IBF262136:IBF262162 ILB262136:ILB262162 IUX262136:IUX262162 JET262136:JET262162 JOP262136:JOP262162 JYL262136:JYL262162 KIH262136:KIH262162 KSD262136:KSD262162 LBZ262136:LBZ262162 LLV262136:LLV262162 LVR262136:LVR262162 MFN262136:MFN262162 MPJ262136:MPJ262162 MZF262136:MZF262162 NJB262136:NJB262162 NSX262136:NSX262162 OCT262136:OCT262162 OMP262136:OMP262162 OWL262136:OWL262162 PGH262136:PGH262162 PQD262136:PQD262162 PZZ262136:PZZ262162 QJV262136:QJV262162 QTR262136:QTR262162 RDN262136:RDN262162 RNJ262136:RNJ262162 RXF262136:RXF262162 SHB262136:SHB262162 SQX262136:SQX262162 TAT262136:TAT262162 TKP262136:TKP262162 TUL262136:TUL262162 UEH262136:UEH262162 UOD262136:UOD262162 UXZ262136:UXZ262162 VHV262136:VHV262162 VRR262136:VRR262162 WBN262136:WBN262162 WLJ262136:WLJ262162 WVF262136:WVF262162 K327672:K327698 IT327672:IT327698 SP327672:SP327698 ACL327672:ACL327698 AMH327672:AMH327698 AWD327672:AWD327698 BFZ327672:BFZ327698 BPV327672:BPV327698 BZR327672:BZR327698 CJN327672:CJN327698 CTJ327672:CTJ327698 DDF327672:DDF327698 DNB327672:DNB327698 DWX327672:DWX327698 EGT327672:EGT327698 EQP327672:EQP327698 FAL327672:FAL327698 FKH327672:FKH327698 FUD327672:FUD327698 GDZ327672:GDZ327698 GNV327672:GNV327698 GXR327672:GXR327698 HHN327672:HHN327698 HRJ327672:HRJ327698 IBF327672:IBF327698 ILB327672:ILB327698 IUX327672:IUX327698 JET327672:JET327698 JOP327672:JOP327698 JYL327672:JYL327698 KIH327672:KIH327698 KSD327672:KSD327698 LBZ327672:LBZ327698 LLV327672:LLV327698 LVR327672:LVR327698 MFN327672:MFN327698 MPJ327672:MPJ327698 MZF327672:MZF327698 NJB327672:NJB327698 NSX327672:NSX327698 OCT327672:OCT327698 OMP327672:OMP327698 OWL327672:OWL327698 PGH327672:PGH327698 PQD327672:PQD327698 PZZ327672:PZZ327698 QJV327672:QJV327698 QTR327672:QTR327698 RDN327672:RDN327698 RNJ327672:RNJ327698 RXF327672:RXF327698 SHB327672:SHB327698 SQX327672:SQX327698 TAT327672:TAT327698 TKP327672:TKP327698 TUL327672:TUL327698 UEH327672:UEH327698 UOD327672:UOD327698 UXZ327672:UXZ327698 VHV327672:VHV327698 VRR327672:VRR327698 WBN327672:WBN327698 WLJ327672:WLJ327698 WVF327672:WVF327698 K393208:K393234 IT393208:IT393234 SP393208:SP393234 ACL393208:ACL393234 AMH393208:AMH393234 AWD393208:AWD393234 BFZ393208:BFZ393234 BPV393208:BPV393234 BZR393208:BZR393234 CJN393208:CJN393234 CTJ393208:CTJ393234 DDF393208:DDF393234 DNB393208:DNB393234 DWX393208:DWX393234 EGT393208:EGT393234 EQP393208:EQP393234 FAL393208:FAL393234 FKH393208:FKH393234 FUD393208:FUD393234 GDZ393208:GDZ393234 GNV393208:GNV393234 GXR393208:GXR393234 HHN393208:HHN393234 HRJ393208:HRJ393234 IBF393208:IBF393234 ILB393208:ILB393234 IUX393208:IUX393234 JET393208:JET393234 JOP393208:JOP393234 JYL393208:JYL393234 KIH393208:KIH393234 KSD393208:KSD393234 LBZ393208:LBZ393234 LLV393208:LLV393234 LVR393208:LVR393234 MFN393208:MFN393234 MPJ393208:MPJ393234 MZF393208:MZF393234 NJB393208:NJB393234 NSX393208:NSX393234 OCT393208:OCT393234 OMP393208:OMP393234 OWL393208:OWL393234 PGH393208:PGH393234 PQD393208:PQD393234 PZZ393208:PZZ393234 QJV393208:QJV393234 QTR393208:QTR393234 RDN393208:RDN393234 RNJ393208:RNJ393234 RXF393208:RXF393234 SHB393208:SHB393234 SQX393208:SQX393234 TAT393208:TAT393234 TKP393208:TKP393234 TUL393208:TUL393234 UEH393208:UEH393234 UOD393208:UOD393234 UXZ393208:UXZ393234 VHV393208:VHV393234 VRR393208:VRR393234 WBN393208:WBN393234 WLJ393208:WLJ393234 WVF393208:WVF393234 K458744:K458770 IT458744:IT458770 SP458744:SP458770 ACL458744:ACL458770 AMH458744:AMH458770 AWD458744:AWD458770 BFZ458744:BFZ458770 BPV458744:BPV458770 BZR458744:BZR458770 CJN458744:CJN458770 CTJ458744:CTJ458770 DDF458744:DDF458770 DNB458744:DNB458770 DWX458744:DWX458770 EGT458744:EGT458770 EQP458744:EQP458770 FAL458744:FAL458770 FKH458744:FKH458770 FUD458744:FUD458770 GDZ458744:GDZ458770 GNV458744:GNV458770 GXR458744:GXR458770 HHN458744:HHN458770 HRJ458744:HRJ458770 IBF458744:IBF458770 ILB458744:ILB458770 IUX458744:IUX458770 JET458744:JET458770 JOP458744:JOP458770 JYL458744:JYL458770 KIH458744:KIH458770 KSD458744:KSD458770 LBZ458744:LBZ458770 LLV458744:LLV458770 LVR458744:LVR458770 MFN458744:MFN458770 MPJ458744:MPJ458770 MZF458744:MZF458770 NJB458744:NJB458770 NSX458744:NSX458770 OCT458744:OCT458770 OMP458744:OMP458770 OWL458744:OWL458770 PGH458744:PGH458770 PQD458744:PQD458770 PZZ458744:PZZ458770 QJV458744:QJV458770 QTR458744:QTR458770 RDN458744:RDN458770 RNJ458744:RNJ458770 RXF458744:RXF458770 SHB458744:SHB458770 SQX458744:SQX458770 TAT458744:TAT458770 TKP458744:TKP458770 TUL458744:TUL458770 UEH458744:UEH458770 UOD458744:UOD458770 UXZ458744:UXZ458770 VHV458744:VHV458770 VRR458744:VRR458770 WBN458744:WBN458770 WLJ458744:WLJ458770 WVF458744:WVF458770 K524280:K524306 IT524280:IT524306 SP524280:SP524306 ACL524280:ACL524306 AMH524280:AMH524306 AWD524280:AWD524306 BFZ524280:BFZ524306 BPV524280:BPV524306 BZR524280:BZR524306 CJN524280:CJN524306 CTJ524280:CTJ524306 DDF524280:DDF524306 DNB524280:DNB524306 DWX524280:DWX524306 EGT524280:EGT524306 EQP524280:EQP524306 FAL524280:FAL524306 FKH524280:FKH524306 FUD524280:FUD524306 GDZ524280:GDZ524306 GNV524280:GNV524306 GXR524280:GXR524306 HHN524280:HHN524306 HRJ524280:HRJ524306 IBF524280:IBF524306 ILB524280:ILB524306 IUX524280:IUX524306 JET524280:JET524306 JOP524280:JOP524306 JYL524280:JYL524306 KIH524280:KIH524306 KSD524280:KSD524306 LBZ524280:LBZ524306 LLV524280:LLV524306 LVR524280:LVR524306 MFN524280:MFN524306 MPJ524280:MPJ524306 MZF524280:MZF524306 NJB524280:NJB524306 NSX524280:NSX524306 OCT524280:OCT524306 OMP524280:OMP524306 OWL524280:OWL524306 PGH524280:PGH524306 PQD524280:PQD524306 PZZ524280:PZZ524306 QJV524280:QJV524306 QTR524280:QTR524306 RDN524280:RDN524306 RNJ524280:RNJ524306 RXF524280:RXF524306 SHB524280:SHB524306 SQX524280:SQX524306 TAT524280:TAT524306 TKP524280:TKP524306 TUL524280:TUL524306 UEH524280:UEH524306 UOD524280:UOD524306 UXZ524280:UXZ524306 VHV524280:VHV524306 VRR524280:VRR524306 WBN524280:WBN524306 WLJ524280:WLJ524306 WVF524280:WVF524306 K589816:K589842 IT589816:IT589842 SP589816:SP589842 ACL589816:ACL589842 AMH589816:AMH589842 AWD589816:AWD589842 BFZ589816:BFZ589842 BPV589816:BPV589842 BZR589816:BZR589842 CJN589816:CJN589842 CTJ589816:CTJ589842 DDF589816:DDF589842 DNB589816:DNB589842 DWX589816:DWX589842 EGT589816:EGT589842 EQP589816:EQP589842 FAL589816:FAL589842 FKH589816:FKH589842 FUD589816:FUD589842 GDZ589816:GDZ589842 GNV589816:GNV589842 GXR589816:GXR589842 HHN589816:HHN589842 HRJ589816:HRJ589842 IBF589816:IBF589842 ILB589816:ILB589842 IUX589816:IUX589842 JET589816:JET589842 JOP589816:JOP589842 JYL589816:JYL589842 KIH589816:KIH589842 KSD589816:KSD589842 LBZ589816:LBZ589842 LLV589816:LLV589842 LVR589816:LVR589842 MFN589816:MFN589842 MPJ589816:MPJ589842 MZF589816:MZF589842 NJB589816:NJB589842 NSX589816:NSX589842 OCT589816:OCT589842 OMP589816:OMP589842 OWL589816:OWL589842 PGH589816:PGH589842 PQD589816:PQD589842 PZZ589816:PZZ589842 QJV589816:QJV589842 QTR589816:QTR589842 RDN589816:RDN589842 RNJ589816:RNJ589842 RXF589816:RXF589842 SHB589816:SHB589842 SQX589816:SQX589842 TAT589816:TAT589842 TKP589816:TKP589842 TUL589816:TUL589842 UEH589816:UEH589842 UOD589816:UOD589842 UXZ589816:UXZ589842 VHV589816:VHV589842 VRR589816:VRR589842 WBN589816:WBN589842 WLJ589816:WLJ589842 WVF589816:WVF589842 K655352:K655378 IT655352:IT655378 SP655352:SP655378 ACL655352:ACL655378 AMH655352:AMH655378 AWD655352:AWD655378 BFZ655352:BFZ655378 BPV655352:BPV655378 BZR655352:BZR655378 CJN655352:CJN655378 CTJ655352:CTJ655378 DDF655352:DDF655378 DNB655352:DNB655378 DWX655352:DWX655378 EGT655352:EGT655378 EQP655352:EQP655378 FAL655352:FAL655378 FKH655352:FKH655378 FUD655352:FUD655378 GDZ655352:GDZ655378 GNV655352:GNV655378 GXR655352:GXR655378 HHN655352:HHN655378 HRJ655352:HRJ655378 IBF655352:IBF655378 ILB655352:ILB655378 IUX655352:IUX655378 JET655352:JET655378 JOP655352:JOP655378 JYL655352:JYL655378 KIH655352:KIH655378 KSD655352:KSD655378 LBZ655352:LBZ655378 LLV655352:LLV655378 LVR655352:LVR655378 MFN655352:MFN655378 MPJ655352:MPJ655378 MZF655352:MZF655378 NJB655352:NJB655378 NSX655352:NSX655378 OCT655352:OCT655378 OMP655352:OMP655378 OWL655352:OWL655378 PGH655352:PGH655378 PQD655352:PQD655378 PZZ655352:PZZ655378 QJV655352:QJV655378 QTR655352:QTR655378 RDN655352:RDN655378 RNJ655352:RNJ655378 RXF655352:RXF655378 SHB655352:SHB655378 SQX655352:SQX655378 TAT655352:TAT655378 TKP655352:TKP655378 TUL655352:TUL655378 UEH655352:UEH655378 UOD655352:UOD655378 UXZ655352:UXZ655378 VHV655352:VHV655378 VRR655352:VRR655378 WBN655352:WBN655378 WLJ655352:WLJ655378 WVF655352:WVF655378 K720888:K720914 IT720888:IT720914 SP720888:SP720914 ACL720888:ACL720914 AMH720888:AMH720914 AWD720888:AWD720914 BFZ720888:BFZ720914 BPV720888:BPV720914 BZR720888:BZR720914 CJN720888:CJN720914 CTJ720888:CTJ720914 DDF720888:DDF720914 DNB720888:DNB720914 DWX720888:DWX720914 EGT720888:EGT720914 EQP720888:EQP720914 FAL720888:FAL720914 FKH720888:FKH720914 FUD720888:FUD720914 GDZ720888:GDZ720914 GNV720888:GNV720914 GXR720888:GXR720914 HHN720888:HHN720914 HRJ720888:HRJ720914 IBF720888:IBF720914 ILB720888:ILB720914 IUX720888:IUX720914 JET720888:JET720914 JOP720888:JOP720914 JYL720888:JYL720914 KIH720888:KIH720914 KSD720888:KSD720914 LBZ720888:LBZ720914 LLV720888:LLV720914 LVR720888:LVR720914 MFN720888:MFN720914 MPJ720888:MPJ720914 MZF720888:MZF720914 NJB720888:NJB720914 NSX720888:NSX720914 OCT720888:OCT720914 OMP720888:OMP720914 OWL720888:OWL720914 PGH720888:PGH720914 PQD720888:PQD720914 PZZ720888:PZZ720914 QJV720888:QJV720914 QTR720888:QTR720914 RDN720888:RDN720914 RNJ720888:RNJ720914 RXF720888:RXF720914 SHB720888:SHB720914 SQX720888:SQX720914 TAT720888:TAT720914 TKP720888:TKP720914 TUL720888:TUL720914 UEH720888:UEH720914 UOD720888:UOD720914 UXZ720888:UXZ720914 VHV720888:VHV720914 VRR720888:VRR720914 WBN720888:WBN720914 WLJ720888:WLJ720914 WVF720888:WVF720914 K786424:K786450 IT786424:IT786450 SP786424:SP786450 ACL786424:ACL786450 AMH786424:AMH786450 AWD786424:AWD786450 BFZ786424:BFZ786450 BPV786424:BPV786450 BZR786424:BZR786450 CJN786424:CJN786450 CTJ786424:CTJ786450 DDF786424:DDF786450 DNB786424:DNB786450 DWX786424:DWX786450 EGT786424:EGT786450 EQP786424:EQP786450 FAL786424:FAL786450 FKH786424:FKH786450 FUD786424:FUD786450 GDZ786424:GDZ786450 GNV786424:GNV786450 GXR786424:GXR786450 HHN786424:HHN786450 HRJ786424:HRJ786450 IBF786424:IBF786450 ILB786424:ILB786450 IUX786424:IUX786450 JET786424:JET786450 JOP786424:JOP786450 JYL786424:JYL786450 KIH786424:KIH786450 KSD786424:KSD786450 LBZ786424:LBZ786450 LLV786424:LLV786450 LVR786424:LVR786450 MFN786424:MFN786450 MPJ786424:MPJ786450 MZF786424:MZF786450 NJB786424:NJB786450 NSX786424:NSX786450 OCT786424:OCT786450 OMP786424:OMP786450 OWL786424:OWL786450 PGH786424:PGH786450 PQD786424:PQD786450 PZZ786424:PZZ786450 QJV786424:QJV786450 QTR786424:QTR786450 RDN786424:RDN786450 RNJ786424:RNJ786450 RXF786424:RXF786450 SHB786424:SHB786450 SQX786424:SQX786450 TAT786424:TAT786450 TKP786424:TKP786450 TUL786424:TUL786450 UEH786424:UEH786450 UOD786424:UOD786450 UXZ786424:UXZ786450 VHV786424:VHV786450 VRR786424:VRR786450 WBN786424:WBN786450 WLJ786424:WLJ786450 WVF786424:WVF786450 K851960:K851986 IT851960:IT851986 SP851960:SP851986 ACL851960:ACL851986 AMH851960:AMH851986 AWD851960:AWD851986 BFZ851960:BFZ851986 BPV851960:BPV851986 BZR851960:BZR851986 CJN851960:CJN851986 CTJ851960:CTJ851986 DDF851960:DDF851986 DNB851960:DNB851986 DWX851960:DWX851986 EGT851960:EGT851986 EQP851960:EQP851986 FAL851960:FAL851986 FKH851960:FKH851986 FUD851960:FUD851986 GDZ851960:GDZ851986 GNV851960:GNV851986 GXR851960:GXR851986 HHN851960:HHN851986 HRJ851960:HRJ851986 IBF851960:IBF851986 ILB851960:ILB851986 IUX851960:IUX851986 JET851960:JET851986 JOP851960:JOP851986 JYL851960:JYL851986 KIH851960:KIH851986 KSD851960:KSD851986 LBZ851960:LBZ851986 LLV851960:LLV851986 LVR851960:LVR851986 MFN851960:MFN851986 MPJ851960:MPJ851986 MZF851960:MZF851986 NJB851960:NJB851986 NSX851960:NSX851986 OCT851960:OCT851986 OMP851960:OMP851986 OWL851960:OWL851986 PGH851960:PGH851986 PQD851960:PQD851986 PZZ851960:PZZ851986 QJV851960:QJV851986 QTR851960:QTR851986 RDN851960:RDN851986 RNJ851960:RNJ851986 RXF851960:RXF851986 SHB851960:SHB851986 SQX851960:SQX851986 TAT851960:TAT851986 TKP851960:TKP851986 TUL851960:TUL851986 UEH851960:UEH851986 UOD851960:UOD851986 UXZ851960:UXZ851986 VHV851960:VHV851986 VRR851960:VRR851986 WBN851960:WBN851986 WLJ851960:WLJ851986 WVF851960:WVF851986 K917496:K917522 IT917496:IT917522 SP917496:SP917522 ACL917496:ACL917522 AMH917496:AMH917522 AWD917496:AWD917522 BFZ917496:BFZ917522 BPV917496:BPV917522 BZR917496:BZR917522 CJN917496:CJN917522 CTJ917496:CTJ917522 DDF917496:DDF917522 DNB917496:DNB917522 DWX917496:DWX917522 EGT917496:EGT917522 EQP917496:EQP917522 FAL917496:FAL917522 FKH917496:FKH917522 FUD917496:FUD917522 GDZ917496:GDZ917522 GNV917496:GNV917522 GXR917496:GXR917522 HHN917496:HHN917522 HRJ917496:HRJ917522 IBF917496:IBF917522 ILB917496:ILB917522 IUX917496:IUX917522 JET917496:JET917522 JOP917496:JOP917522 JYL917496:JYL917522 KIH917496:KIH917522 KSD917496:KSD917522 LBZ917496:LBZ917522 LLV917496:LLV917522 LVR917496:LVR917522 MFN917496:MFN917522 MPJ917496:MPJ917522 MZF917496:MZF917522 NJB917496:NJB917522 NSX917496:NSX917522 OCT917496:OCT917522 OMP917496:OMP917522 OWL917496:OWL917522 PGH917496:PGH917522 PQD917496:PQD917522 PZZ917496:PZZ917522 QJV917496:QJV917522 QTR917496:QTR917522 RDN917496:RDN917522 RNJ917496:RNJ917522 RXF917496:RXF917522 SHB917496:SHB917522 SQX917496:SQX917522 TAT917496:TAT917522 TKP917496:TKP917522 TUL917496:TUL917522 UEH917496:UEH917522 UOD917496:UOD917522 UXZ917496:UXZ917522 VHV917496:VHV917522 VRR917496:VRR917522 WBN917496:WBN917522 WLJ917496:WLJ917522 WVF917496:WVF917522 K983032:K983058 IT983032:IT983058 SP983032:SP983058 ACL983032:ACL983058 AMH983032:AMH983058 AWD983032:AWD983058 BFZ983032:BFZ983058 BPV983032:BPV983058 BZR983032:BZR983058 CJN983032:CJN983058 CTJ983032:CTJ983058 DDF983032:DDF983058 DNB983032:DNB983058 DWX983032:DWX983058 EGT983032:EGT983058 EQP983032:EQP983058 FAL983032:FAL983058 FKH983032:FKH983058 FUD983032:FUD983058 GDZ983032:GDZ983058 GNV983032:GNV983058 GXR983032:GXR983058 HHN983032:HHN983058 HRJ983032:HRJ983058 IBF983032:IBF983058 ILB983032:ILB983058 IUX983032:IUX983058 JET983032:JET983058 JOP983032:JOP983058 JYL983032:JYL983058 KIH983032:KIH983058 KSD983032:KSD983058 LBZ983032:LBZ983058 LLV983032:LLV983058 LVR983032:LVR983058 MFN983032:MFN983058 MPJ983032:MPJ983058 MZF983032:MZF983058 NJB983032:NJB983058 NSX983032:NSX983058 OCT983032:OCT983058 OMP983032:OMP983058 OWL983032:OWL983058 PGH983032:PGH983058 PQD983032:PQD983058 PZZ983032:PZZ983058 QJV983032:QJV983058 QTR983032:QTR983058 RDN983032:RDN983058 RNJ983032:RNJ983058 RXF983032:RXF983058 SHB983032:SHB983058 SQX983032:SQX983058 TAT983032:TAT983058 TKP983032:TKP983058 TUL983032:TUL983058 UEH983032:UEH983058 UOD983032:UOD983058 UXZ983032:UXZ983058 VHV983032:VHV983058 VRR983032:VRR983058 WBN983032:WBN983058 WLJ983032:WLJ983058 WVF983032:WVF983058 WVF8:WVF18 WLJ8:WLJ18 WBN8:WBN18 VRR8:VRR18 VHV8:VHV18 UXZ8:UXZ18 UOD8:UOD18 UEH8:UEH18 TUL8:TUL18 TKP8:TKP18 TAT8:TAT18 SQX8:SQX18 SHB8:SHB18 RXF8:RXF18 RNJ8:RNJ18 RDN8:RDN18 QTR8:QTR18 QJV8:QJV18 PZZ8:PZZ18 PQD8:PQD18 PGH8:PGH18 OWL8:OWL18 OMP8:OMP18 OCT8:OCT18 NSX8:NSX18 NJB8:NJB18 MZF8:MZF18 MPJ8:MPJ18 MFN8:MFN18 LVR8:LVR18 LLV8:LLV18 LBZ8:LBZ18 KSD8:KSD18 KIH8:KIH18 JYL8:JYL18 JOP8:JOP18 JET8:JET18 IUX8:IUX18 ILB8:ILB18 IBF8:IBF18 HRJ8:HRJ18 HHN8:HHN18 GXR8:GXR18 GNV8:GNV18 GDZ8:GDZ18 FUD8:FUD18 FKH8:FKH18 FAL8:FAL18 EQP8:EQP18 EGT8:EGT18 DWX8:DWX18 DNB8:DNB18 DDF8:DDF18 CTJ8:CTJ18 CJN8:CJN18 BZR8:BZR18 BPV8:BPV18 BFZ8:BFZ18 AWD8:AWD18 AMH8:AMH18 ACL8:ACL18 SP8:SP18 IT8:IT18 K8:K18 WVB8:WVB18 WLF8:WLF18 WBJ8:WBJ18 VRN8:VRN18 VHR8:VHR18 UXV8:UXV18 UNZ8:UNZ18 UED8:UED18 TUH8:TUH18 TKL8:TKL18 TAP8:TAP18 SQT8:SQT18 SGX8:SGX18 RXB8:RXB18 RNF8:RNF18 RDJ8:RDJ18 QTN8:QTN18 QJR8:QJR18 PZV8:PZV18 PPZ8:PPZ18 PGD8:PGD18 OWH8:OWH18 OML8:OML18 OCP8:OCP18 NST8:NST18 NIX8:NIX18 MZB8:MZB18 MPF8:MPF18 MFJ8:MFJ18 LVN8:LVN18 LLR8:LLR18 LBV8:LBV18 KRZ8:KRZ18 KID8:KID18 JYH8:JYH18 JOL8:JOL18 JEP8:JEP18 IUT8:IUT18 IKX8:IKX18 IBB8:IBB18 HRF8:HRF18 HHJ8:HHJ18 GXN8:GXN18 GNR8:GNR18 GDV8:GDV18 FTZ8:FTZ18 FKD8:FKD18 FAH8:FAH18 EQL8:EQL18 EGP8:EGP18 DWT8:DWT18 DMX8:DMX18 DDB8:DDB18 CTF8:CTF18 CJJ8:CJJ18 BZN8:BZN18 BPR8:BPR18 BFV8:BFV18 AVZ8:AVZ18 AMD8:AMD18 ACH8:ACH18 SL8:SL18 IP8:IP18 G8:G18" xr:uid="{C80617E7-8E91-418F-9A4D-0869BD470CC3}">
      <formula1>0</formula1>
    </dataValidation>
    <dataValidation type="whole" operator="greaterThanOrEqual" allowBlank="1" showInputMessage="1" showErrorMessage="1" sqref="I65528:J65554 IR65528:IS65554 SN65528:SO65554 ACJ65528:ACK65554 AMF65528:AMG65554 AWB65528:AWC65554 BFX65528:BFY65554 BPT65528:BPU65554 BZP65528:BZQ65554 CJL65528:CJM65554 CTH65528:CTI65554 DDD65528:DDE65554 DMZ65528:DNA65554 DWV65528:DWW65554 EGR65528:EGS65554 EQN65528:EQO65554 FAJ65528:FAK65554 FKF65528:FKG65554 FUB65528:FUC65554 GDX65528:GDY65554 GNT65528:GNU65554 GXP65528:GXQ65554 HHL65528:HHM65554 HRH65528:HRI65554 IBD65528:IBE65554 IKZ65528:ILA65554 IUV65528:IUW65554 JER65528:JES65554 JON65528:JOO65554 JYJ65528:JYK65554 KIF65528:KIG65554 KSB65528:KSC65554 LBX65528:LBY65554 LLT65528:LLU65554 LVP65528:LVQ65554 MFL65528:MFM65554 MPH65528:MPI65554 MZD65528:MZE65554 NIZ65528:NJA65554 NSV65528:NSW65554 OCR65528:OCS65554 OMN65528:OMO65554 OWJ65528:OWK65554 PGF65528:PGG65554 PQB65528:PQC65554 PZX65528:PZY65554 QJT65528:QJU65554 QTP65528:QTQ65554 RDL65528:RDM65554 RNH65528:RNI65554 RXD65528:RXE65554 SGZ65528:SHA65554 SQV65528:SQW65554 TAR65528:TAS65554 TKN65528:TKO65554 TUJ65528:TUK65554 UEF65528:UEG65554 UOB65528:UOC65554 UXX65528:UXY65554 VHT65528:VHU65554 VRP65528:VRQ65554 WBL65528:WBM65554 WLH65528:WLI65554 WVD65528:WVE65554 I131064:J131090 IR131064:IS131090 SN131064:SO131090 ACJ131064:ACK131090 AMF131064:AMG131090 AWB131064:AWC131090 BFX131064:BFY131090 BPT131064:BPU131090 BZP131064:BZQ131090 CJL131064:CJM131090 CTH131064:CTI131090 DDD131064:DDE131090 DMZ131064:DNA131090 DWV131064:DWW131090 EGR131064:EGS131090 EQN131064:EQO131090 FAJ131064:FAK131090 FKF131064:FKG131090 FUB131064:FUC131090 GDX131064:GDY131090 GNT131064:GNU131090 GXP131064:GXQ131090 HHL131064:HHM131090 HRH131064:HRI131090 IBD131064:IBE131090 IKZ131064:ILA131090 IUV131064:IUW131090 JER131064:JES131090 JON131064:JOO131090 JYJ131064:JYK131090 KIF131064:KIG131090 KSB131064:KSC131090 LBX131064:LBY131090 LLT131064:LLU131090 LVP131064:LVQ131090 MFL131064:MFM131090 MPH131064:MPI131090 MZD131064:MZE131090 NIZ131064:NJA131090 NSV131064:NSW131090 OCR131064:OCS131090 OMN131064:OMO131090 OWJ131064:OWK131090 PGF131064:PGG131090 PQB131064:PQC131090 PZX131064:PZY131090 QJT131064:QJU131090 QTP131064:QTQ131090 RDL131064:RDM131090 RNH131064:RNI131090 RXD131064:RXE131090 SGZ131064:SHA131090 SQV131064:SQW131090 TAR131064:TAS131090 TKN131064:TKO131090 TUJ131064:TUK131090 UEF131064:UEG131090 UOB131064:UOC131090 UXX131064:UXY131090 VHT131064:VHU131090 VRP131064:VRQ131090 WBL131064:WBM131090 WLH131064:WLI131090 WVD131064:WVE131090 I196600:J196626 IR196600:IS196626 SN196600:SO196626 ACJ196600:ACK196626 AMF196600:AMG196626 AWB196600:AWC196626 BFX196600:BFY196626 BPT196600:BPU196626 BZP196600:BZQ196626 CJL196600:CJM196626 CTH196600:CTI196626 DDD196600:DDE196626 DMZ196600:DNA196626 DWV196600:DWW196626 EGR196600:EGS196626 EQN196600:EQO196626 FAJ196600:FAK196626 FKF196600:FKG196626 FUB196600:FUC196626 GDX196600:GDY196626 GNT196600:GNU196626 GXP196600:GXQ196626 HHL196600:HHM196626 HRH196600:HRI196626 IBD196600:IBE196626 IKZ196600:ILA196626 IUV196600:IUW196626 JER196600:JES196626 JON196600:JOO196626 JYJ196600:JYK196626 KIF196600:KIG196626 KSB196600:KSC196626 LBX196600:LBY196626 LLT196600:LLU196626 LVP196600:LVQ196626 MFL196600:MFM196626 MPH196600:MPI196626 MZD196600:MZE196626 NIZ196600:NJA196626 NSV196600:NSW196626 OCR196600:OCS196626 OMN196600:OMO196626 OWJ196600:OWK196626 PGF196600:PGG196626 PQB196600:PQC196626 PZX196600:PZY196626 QJT196600:QJU196626 QTP196600:QTQ196626 RDL196600:RDM196626 RNH196600:RNI196626 RXD196600:RXE196626 SGZ196600:SHA196626 SQV196600:SQW196626 TAR196600:TAS196626 TKN196600:TKO196626 TUJ196600:TUK196626 UEF196600:UEG196626 UOB196600:UOC196626 UXX196600:UXY196626 VHT196600:VHU196626 VRP196600:VRQ196626 WBL196600:WBM196626 WLH196600:WLI196626 WVD196600:WVE196626 I262136:J262162 IR262136:IS262162 SN262136:SO262162 ACJ262136:ACK262162 AMF262136:AMG262162 AWB262136:AWC262162 BFX262136:BFY262162 BPT262136:BPU262162 BZP262136:BZQ262162 CJL262136:CJM262162 CTH262136:CTI262162 DDD262136:DDE262162 DMZ262136:DNA262162 DWV262136:DWW262162 EGR262136:EGS262162 EQN262136:EQO262162 FAJ262136:FAK262162 FKF262136:FKG262162 FUB262136:FUC262162 GDX262136:GDY262162 GNT262136:GNU262162 GXP262136:GXQ262162 HHL262136:HHM262162 HRH262136:HRI262162 IBD262136:IBE262162 IKZ262136:ILA262162 IUV262136:IUW262162 JER262136:JES262162 JON262136:JOO262162 JYJ262136:JYK262162 KIF262136:KIG262162 KSB262136:KSC262162 LBX262136:LBY262162 LLT262136:LLU262162 LVP262136:LVQ262162 MFL262136:MFM262162 MPH262136:MPI262162 MZD262136:MZE262162 NIZ262136:NJA262162 NSV262136:NSW262162 OCR262136:OCS262162 OMN262136:OMO262162 OWJ262136:OWK262162 PGF262136:PGG262162 PQB262136:PQC262162 PZX262136:PZY262162 QJT262136:QJU262162 QTP262136:QTQ262162 RDL262136:RDM262162 RNH262136:RNI262162 RXD262136:RXE262162 SGZ262136:SHA262162 SQV262136:SQW262162 TAR262136:TAS262162 TKN262136:TKO262162 TUJ262136:TUK262162 UEF262136:UEG262162 UOB262136:UOC262162 UXX262136:UXY262162 VHT262136:VHU262162 VRP262136:VRQ262162 WBL262136:WBM262162 WLH262136:WLI262162 WVD262136:WVE262162 I327672:J327698 IR327672:IS327698 SN327672:SO327698 ACJ327672:ACK327698 AMF327672:AMG327698 AWB327672:AWC327698 BFX327672:BFY327698 BPT327672:BPU327698 BZP327672:BZQ327698 CJL327672:CJM327698 CTH327672:CTI327698 DDD327672:DDE327698 DMZ327672:DNA327698 DWV327672:DWW327698 EGR327672:EGS327698 EQN327672:EQO327698 FAJ327672:FAK327698 FKF327672:FKG327698 FUB327672:FUC327698 GDX327672:GDY327698 GNT327672:GNU327698 GXP327672:GXQ327698 HHL327672:HHM327698 HRH327672:HRI327698 IBD327672:IBE327698 IKZ327672:ILA327698 IUV327672:IUW327698 JER327672:JES327698 JON327672:JOO327698 JYJ327672:JYK327698 KIF327672:KIG327698 KSB327672:KSC327698 LBX327672:LBY327698 LLT327672:LLU327698 LVP327672:LVQ327698 MFL327672:MFM327698 MPH327672:MPI327698 MZD327672:MZE327698 NIZ327672:NJA327698 NSV327672:NSW327698 OCR327672:OCS327698 OMN327672:OMO327698 OWJ327672:OWK327698 PGF327672:PGG327698 PQB327672:PQC327698 PZX327672:PZY327698 QJT327672:QJU327698 QTP327672:QTQ327698 RDL327672:RDM327698 RNH327672:RNI327698 RXD327672:RXE327698 SGZ327672:SHA327698 SQV327672:SQW327698 TAR327672:TAS327698 TKN327672:TKO327698 TUJ327672:TUK327698 UEF327672:UEG327698 UOB327672:UOC327698 UXX327672:UXY327698 VHT327672:VHU327698 VRP327672:VRQ327698 WBL327672:WBM327698 WLH327672:WLI327698 WVD327672:WVE327698 I393208:J393234 IR393208:IS393234 SN393208:SO393234 ACJ393208:ACK393234 AMF393208:AMG393234 AWB393208:AWC393234 BFX393208:BFY393234 BPT393208:BPU393234 BZP393208:BZQ393234 CJL393208:CJM393234 CTH393208:CTI393234 DDD393208:DDE393234 DMZ393208:DNA393234 DWV393208:DWW393234 EGR393208:EGS393234 EQN393208:EQO393234 FAJ393208:FAK393234 FKF393208:FKG393234 FUB393208:FUC393234 GDX393208:GDY393234 GNT393208:GNU393234 GXP393208:GXQ393234 HHL393208:HHM393234 HRH393208:HRI393234 IBD393208:IBE393234 IKZ393208:ILA393234 IUV393208:IUW393234 JER393208:JES393234 JON393208:JOO393234 JYJ393208:JYK393234 KIF393208:KIG393234 KSB393208:KSC393234 LBX393208:LBY393234 LLT393208:LLU393234 LVP393208:LVQ393234 MFL393208:MFM393234 MPH393208:MPI393234 MZD393208:MZE393234 NIZ393208:NJA393234 NSV393208:NSW393234 OCR393208:OCS393234 OMN393208:OMO393234 OWJ393208:OWK393234 PGF393208:PGG393234 PQB393208:PQC393234 PZX393208:PZY393234 QJT393208:QJU393234 QTP393208:QTQ393234 RDL393208:RDM393234 RNH393208:RNI393234 RXD393208:RXE393234 SGZ393208:SHA393234 SQV393208:SQW393234 TAR393208:TAS393234 TKN393208:TKO393234 TUJ393208:TUK393234 UEF393208:UEG393234 UOB393208:UOC393234 UXX393208:UXY393234 VHT393208:VHU393234 VRP393208:VRQ393234 WBL393208:WBM393234 WLH393208:WLI393234 WVD393208:WVE393234 I458744:J458770 IR458744:IS458770 SN458744:SO458770 ACJ458744:ACK458770 AMF458744:AMG458770 AWB458744:AWC458770 BFX458744:BFY458770 BPT458744:BPU458770 BZP458744:BZQ458770 CJL458744:CJM458770 CTH458744:CTI458770 DDD458744:DDE458770 DMZ458744:DNA458770 DWV458744:DWW458770 EGR458744:EGS458770 EQN458744:EQO458770 FAJ458744:FAK458770 FKF458744:FKG458770 FUB458744:FUC458770 GDX458744:GDY458770 GNT458744:GNU458770 GXP458744:GXQ458770 HHL458744:HHM458770 HRH458744:HRI458770 IBD458744:IBE458770 IKZ458744:ILA458770 IUV458744:IUW458770 JER458744:JES458770 JON458744:JOO458770 JYJ458744:JYK458770 KIF458744:KIG458770 KSB458744:KSC458770 LBX458744:LBY458770 LLT458744:LLU458770 LVP458744:LVQ458770 MFL458744:MFM458770 MPH458744:MPI458770 MZD458744:MZE458770 NIZ458744:NJA458770 NSV458744:NSW458770 OCR458744:OCS458770 OMN458744:OMO458770 OWJ458744:OWK458770 PGF458744:PGG458770 PQB458744:PQC458770 PZX458744:PZY458770 QJT458744:QJU458770 QTP458744:QTQ458770 RDL458744:RDM458770 RNH458744:RNI458770 RXD458744:RXE458770 SGZ458744:SHA458770 SQV458744:SQW458770 TAR458744:TAS458770 TKN458744:TKO458770 TUJ458744:TUK458770 UEF458744:UEG458770 UOB458744:UOC458770 UXX458744:UXY458770 VHT458744:VHU458770 VRP458744:VRQ458770 WBL458744:WBM458770 WLH458744:WLI458770 WVD458744:WVE458770 I524280:J524306 IR524280:IS524306 SN524280:SO524306 ACJ524280:ACK524306 AMF524280:AMG524306 AWB524280:AWC524306 BFX524280:BFY524306 BPT524280:BPU524306 BZP524280:BZQ524306 CJL524280:CJM524306 CTH524280:CTI524306 DDD524280:DDE524306 DMZ524280:DNA524306 DWV524280:DWW524306 EGR524280:EGS524306 EQN524280:EQO524306 FAJ524280:FAK524306 FKF524280:FKG524306 FUB524280:FUC524306 GDX524280:GDY524306 GNT524280:GNU524306 GXP524280:GXQ524306 HHL524280:HHM524306 HRH524280:HRI524306 IBD524280:IBE524306 IKZ524280:ILA524306 IUV524280:IUW524306 JER524280:JES524306 JON524280:JOO524306 JYJ524280:JYK524306 KIF524280:KIG524306 KSB524280:KSC524306 LBX524280:LBY524306 LLT524280:LLU524306 LVP524280:LVQ524306 MFL524280:MFM524306 MPH524280:MPI524306 MZD524280:MZE524306 NIZ524280:NJA524306 NSV524280:NSW524306 OCR524280:OCS524306 OMN524280:OMO524306 OWJ524280:OWK524306 PGF524280:PGG524306 PQB524280:PQC524306 PZX524280:PZY524306 QJT524280:QJU524306 QTP524280:QTQ524306 RDL524280:RDM524306 RNH524280:RNI524306 RXD524280:RXE524306 SGZ524280:SHA524306 SQV524280:SQW524306 TAR524280:TAS524306 TKN524280:TKO524306 TUJ524280:TUK524306 UEF524280:UEG524306 UOB524280:UOC524306 UXX524280:UXY524306 VHT524280:VHU524306 VRP524280:VRQ524306 WBL524280:WBM524306 WLH524280:WLI524306 WVD524280:WVE524306 I589816:J589842 IR589816:IS589842 SN589816:SO589842 ACJ589816:ACK589842 AMF589816:AMG589842 AWB589816:AWC589842 BFX589816:BFY589842 BPT589816:BPU589842 BZP589816:BZQ589842 CJL589816:CJM589842 CTH589816:CTI589842 DDD589816:DDE589842 DMZ589816:DNA589842 DWV589816:DWW589842 EGR589816:EGS589842 EQN589816:EQO589842 FAJ589816:FAK589842 FKF589816:FKG589842 FUB589816:FUC589842 GDX589816:GDY589842 GNT589816:GNU589842 GXP589816:GXQ589842 HHL589816:HHM589842 HRH589816:HRI589842 IBD589816:IBE589842 IKZ589816:ILA589842 IUV589816:IUW589842 JER589816:JES589842 JON589816:JOO589842 JYJ589816:JYK589842 KIF589816:KIG589842 KSB589816:KSC589842 LBX589816:LBY589842 LLT589816:LLU589842 LVP589816:LVQ589842 MFL589816:MFM589842 MPH589816:MPI589842 MZD589816:MZE589842 NIZ589816:NJA589842 NSV589816:NSW589842 OCR589816:OCS589842 OMN589816:OMO589842 OWJ589816:OWK589842 PGF589816:PGG589842 PQB589816:PQC589842 PZX589816:PZY589842 QJT589816:QJU589842 QTP589816:QTQ589842 RDL589816:RDM589842 RNH589816:RNI589842 RXD589816:RXE589842 SGZ589816:SHA589842 SQV589816:SQW589842 TAR589816:TAS589842 TKN589816:TKO589842 TUJ589816:TUK589842 UEF589816:UEG589842 UOB589816:UOC589842 UXX589816:UXY589842 VHT589816:VHU589842 VRP589816:VRQ589842 WBL589816:WBM589842 WLH589816:WLI589842 WVD589816:WVE589842 I655352:J655378 IR655352:IS655378 SN655352:SO655378 ACJ655352:ACK655378 AMF655352:AMG655378 AWB655352:AWC655378 BFX655352:BFY655378 BPT655352:BPU655378 BZP655352:BZQ655378 CJL655352:CJM655378 CTH655352:CTI655378 DDD655352:DDE655378 DMZ655352:DNA655378 DWV655352:DWW655378 EGR655352:EGS655378 EQN655352:EQO655378 FAJ655352:FAK655378 FKF655352:FKG655378 FUB655352:FUC655378 GDX655352:GDY655378 GNT655352:GNU655378 GXP655352:GXQ655378 HHL655352:HHM655378 HRH655352:HRI655378 IBD655352:IBE655378 IKZ655352:ILA655378 IUV655352:IUW655378 JER655352:JES655378 JON655352:JOO655378 JYJ655352:JYK655378 KIF655352:KIG655378 KSB655352:KSC655378 LBX655352:LBY655378 LLT655352:LLU655378 LVP655352:LVQ655378 MFL655352:MFM655378 MPH655352:MPI655378 MZD655352:MZE655378 NIZ655352:NJA655378 NSV655352:NSW655378 OCR655352:OCS655378 OMN655352:OMO655378 OWJ655352:OWK655378 PGF655352:PGG655378 PQB655352:PQC655378 PZX655352:PZY655378 QJT655352:QJU655378 QTP655352:QTQ655378 RDL655352:RDM655378 RNH655352:RNI655378 RXD655352:RXE655378 SGZ655352:SHA655378 SQV655352:SQW655378 TAR655352:TAS655378 TKN655352:TKO655378 TUJ655352:TUK655378 UEF655352:UEG655378 UOB655352:UOC655378 UXX655352:UXY655378 VHT655352:VHU655378 VRP655352:VRQ655378 WBL655352:WBM655378 WLH655352:WLI655378 WVD655352:WVE655378 I720888:J720914 IR720888:IS720914 SN720888:SO720914 ACJ720888:ACK720914 AMF720888:AMG720914 AWB720888:AWC720914 BFX720888:BFY720914 BPT720888:BPU720914 BZP720888:BZQ720914 CJL720888:CJM720914 CTH720888:CTI720914 DDD720888:DDE720914 DMZ720888:DNA720914 DWV720888:DWW720914 EGR720888:EGS720914 EQN720888:EQO720914 FAJ720888:FAK720914 FKF720888:FKG720914 FUB720888:FUC720914 GDX720888:GDY720914 GNT720888:GNU720914 GXP720888:GXQ720914 HHL720888:HHM720914 HRH720888:HRI720914 IBD720888:IBE720914 IKZ720888:ILA720914 IUV720888:IUW720914 JER720888:JES720914 JON720888:JOO720914 JYJ720888:JYK720914 KIF720888:KIG720914 KSB720888:KSC720914 LBX720888:LBY720914 LLT720888:LLU720914 LVP720888:LVQ720914 MFL720888:MFM720914 MPH720888:MPI720914 MZD720888:MZE720914 NIZ720888:NJA720914 NSV720888:NSW720914 OCR720888:OCS720914 OMN720888:OMO720914 OWJ720888:OWK720914 PGF720888:PGG720914 PQB720888:PQC720914 PZX720888:PZY720914 QJT720888:QJU720914 QTP720888:QTQ720914 RDL720888:RDM720914 RNH720888:RNI720914 RXD720888:RXE720914 SGZ720888:SHA720914 SQV720888:SQW720914 TAR720888:TAS720914 TKN720888:TKO720914 TUJ720888:TUK720914 UEF720888:UEG720914 UOB720888:UOC720914 UXX720888:UXY720914 VHT720888:VHU720914 VRP720888:VRQ720914 WBL720888:WBM720914 WLH720888:WLI720914 WVD720888:WVE720914 I786424:J786450 IR786424:IS786450 SN786424:SO786450 ACJ786424:ACK786450 AMF786424:AMG786450 AWB786424:AWC786450 BFX786424:BFY786450 BPT786424:BPU786450 BZP786424:BZQ786450 CJL786424:CJM786450 CTH786424:CTI786450 DDD786424:DDE786450 DMZ786424:DNA786450 DWV786424:DWW786450 EGR786424:EGS786450 EQN786424:EQO786450 FAJ786424:FAK786450 FKF786424:FKG786450 FUB786424:FUC786450 GDX786424:GDY786450 GNT786424:GNU786450 GXP786424:GXQ786450 HHL786424:HHM786450 HRH786424:HRI786450 IBD786424:IBE786450 IKZ786424:ILA786450 IUV786424:IUW786450 JER786424:JES786450 JON786424:JOO786450 JYJ786424:JYK786450 KIF786424:KIG786450 KSB786424:KSC786450 LBX786424:LBY786450 LLT786424:LLU786450 LVP786424:LVQ786450 MFL786424:MFM786450 MPH786424:MPI786450 MZD786424:MZE786450 NIZ786424:NJA786450 NSV786424:NSW786450 OCR786424:OCS786450 OMN786424:OMO786450 OWJ786424:OWK786450 PGF786424:PGG786450 PQB786424:PQC786450 PZX786424:PZY786450 QJT786424:QJU786450 QTP786424:QTQ786450 RDL786424:RDM786450 RNH786424:RNI786450 RXD786424:RXE786450 SGZ786424:SHA786450 SQV786424:SQW786450 TAR786424:TAS786450 TKN786424:TKO786450 TUJ786424:TUK786450 UEF786424:UEG786450 UOB786424:UOC786450 UXX786424:UXY786450 VHT786424:VHU786450 VRP786424:VRQ786450 WBL786424:WBM786450 WLH786424:WLI786450 WVD786424:WVE786450 I851960:J851986 IR851960:IS851986 SN851960:SO851986 ACJ851960:ACK851986 AMF851960:AMG851986 AWB851960:AWC851986 BFX851960:BFY851986 BPT851960:BPU851986 BZP851960:BZQ851986 CJL851960:CJM851986 CTH851960:CTI851986 DDD851960:DDE851986 DMZ851960:DNA851986 DWV851960:DWW851986 EGR851960:EGS851986 EQN851960:EQO851986 FAJ851960:FAK851986 FKF851960:FKG851986 FUB851960:FUC851986 GDX851960:GDY851986 GNT851960:GNU851986 GXP851960:GXQ851986 HHL851960:HHM851986 HRH851960:HRI851986 IBD851960:IBE851986 IKZ851960:ILA851986 IUV851960:IUW851986 JER851960:JES851986 JON851960:JOO851986 JYJ851960:JYK851986 KIF851960:KIG851986 KSB851960:KSC851986 LBX851960:LBY851986 LLT851960:LLU851986 LVP851960:LVQ851986 MFL851960:MFM851986 MPH851960:MPI851986 MZD851960:MZE851986 NIZ851960:NJA851986 NSV851960:NSW851986 OCR851960:OCS851986 OMN851960:OMO851986 OWJ851960:OWK851986 PGF851960:PGG851986 PQB851960:PQC851986 PZX851960:PZY851986 QJT851960:QJU851986 QTP851960:QTQ851986 RDL851960:RDM851986 RNH851960:RNI851986 RXD851960:RXE851986 SGZ851960:SHA851986 SQV851960:SQW851986 TAR851960:TAS851986 TKN851960:TKO851986 TUJ851960:TUK851986 UEF851960:UEG851986 UOB851960:UOC851986 UXX851960:UXY851986 VHT851960:VHU851986 VRP851960:VRQ851986 WBL851960:WBM851986 WLH851960:WLI851986 WVD851960:WVE851986 I917496:J917522 IR917496:IS917522 SN917496:SO917522 ACJ917496:ACK917522 AMF917496:AMG917522 AWB917496:AWC917522 BFX917496:BFY917522 BPT917496:BPU917522 BZP917496:BZQ917522 CJL917496:CJM917522 CTH917496:CTI917522 DDD917496:DDE917522 DMZ917496:DNA917522 DWV917496:DWW917522 EGR917496:EGS917522 EQN917496:EQO917522 FAJ917496:FAK917522 FKF917496:FKG917522 FUB917496:FUC917522 GDX917496:GDY917522 GNT917496:GNU917522 GXP917496:GXQ917522 HHL917496:HHM917522 HRH917496:HRI917522 IBD917496:IBE917522 IKZ917496:ILA917522 IUV917496:IUW917522 JER917496:JES917522 JON917496:JOO917522 JYJ917496:JYK917522 KIF917496:KIG917522 KSB917496:KSC917522 LBX917496:LBY917522 LLT917496:LLU917522 LVP917496:LVQ917522 MFL917496:MFM917522 MPH917496:MPI917522 MZD917496:MZE917522 NIZ917496:NJA917522 NSV917496:NSW917522 OCR917496:OCS917522 OMN917496:OMO917522 OWJ917496:OWK917522 PGF917496:PGG917522 PQB917496:PQC917522 PZX917496:PZY917522 QJT917496:QJU917522 QTP917496:QTQ917522 RDL917496:RDM917522 RNH917496:RNI917522 RXD917496:RXE917522 SGZ917496:SHA917522 SQV917496:SQW917522 TAR917496:TAS917522 TKN917496:TKO917522 TUJ917496:TUK917522 UEF917496:UEG917522 UOB917496:UOC917522 UXX917496:UXY917522 VHT917496:VHU917522 VRP917496:VRQ917522 WBL917496:WBM917522 WLH917496:WLI917522 WVD917496:WVE917522 I983032:J983058 IR983032:IS983058 SN983032:SO983058 ACJ983032:ACK983058 AMF983032:AMG983058 AWB983032:AWC983058 BFX983032:BFY983058 BPT983032:BPU983058 BZP983032:BZQ983058 CJL983032:CJM983058 CTH983032:CTI983058 DDD983032:DDE983058 DMZ983032:DNA983058 DWV983032:DWW983058 EGR983032:EGS983058 EQN983032:EQO983058 FAJ983032:FAK983058 FKF983032:FKG983058 FUB983032:FUC983058 GDX983032:GDY983058 GNT983032:GNU983058 GXP983032:GXQ983058 HHL983032:HHM983058 HRH983032:HRI983058 IBD983032:IBE983058 IKZ983032:ILA983058 IUV983032:IUW983058 JER983032:JES983058 JON983032:JOO983058 JYJ983032:JYK983058 KIF983032:KIG983058 KSB983032:KSC983058 LBX983032:LBY983058 LLT983032:LLU983058 LVP983032:LVQ983058 MFL983032:MFM983058 MPH983032:MPI983058 MZD983032:MZE983058 NIZ983032:NJA983058 NSV983032:NSW983058 OCR983032:OCS983058 OMN983032:OMO983058 OWJ983032:OWK983058 PGF983032:PGG983058 PQB983032:PQC983058 PZX983032:PZY983058 QJT983032:QJU983058 QTP983032:QTQ983058 RDL983032:RDM983058 RNH983032:RNI983058 RXD983032:RXE983058 SGZ983032:SHA983058 SQV983032:SQW983058 TAR983032:TAS983058 TKN983032:TKO983058 TUJ983032:TUK983058 UEF983032:UEG983058 UOB983032:UOC983058 UXX983032:UXY983058 VHT983032:VHU983058 VRP983032:VRQ983058 WBL983032:WBM983058 WLH983032:WLI983058 WVD983032:WVE983058 WVD8:WVE18 WLH8:WLI18 WBL8:WBM18 VRP8:VRQ18 VHT8:VHU18 UXX8:UXY18 UOB8:UOC18 UEF8:UEG18 TUJ8:TUK18 TKN8:TKO18 TAR8:TAS18 SQV8:SQW18 SGZ8:SHA18 RXD8:RXE18 RNH8:RNI18 RDL8:RDM18 QTP8:QTQ18 QJT8:QJU18 PZX8:PZY18 PQB8:PQC18 PGF8:PGG18 OWJ8:OWK18 OMN8:OMO18 OCR8:OCS18 NSV8:NSW18 NIZ8:NJA18 MZD8:MZE18 MPH8:MPI18 MFL8:MFM18 LVP8:LVQ18 LLT8:LLU18 LBX8:LBY18 KSB8:KSC18 KIF8:KIG18 JYJ8:JYK18 JON8:JOO18 JER8:JES18 IUV8:IUW18 IKZ8:ILA18 IBD8:IBE18 HRH8:HRI18 HHL8:HHM18 GXP8:GXQ18 GNT8:GNU18 GDX8:GDY18 FUB8:FUC18 FKF8:FKG18 FAJ8:FAK18 EQN8:EQO18 EGR8:EGS18 DWV8:DWW18 DMZ8:DNA18 DDD8:DDE18 CTH8:CTI18 CJL8:CJM18 BZP8:BZQ18 BPT8:BPU18 BFX8:BFY18 AWB8:AWC18 AMF8:AMG18 ACJ8:ACK18 SN8:SO18 IR8:IS18 I8:J18" xr:uid="{ED3EBBF7-9D24-42A2-9EB6-160BD12E944C}">
      <formula1>0</formula1>
    </dataValidation>
    <dataValidation type="list" allowBlank="1" showInputMessage="1" showErrorMessage="1" sqref="E8:E18" xr:uid="{5CBF9DE3-BD18-4773-9C33-3ABE93B9AF22}">
      <formula1>"DESENVOLVIMENTO,INFRA-ESTRUTURA,N/A"</formula1>
    </dataValidation>
    <dataValidation type="list" allowBlank="1" showInputMessage="1" showErrorMessage="1" sqref="D8:D18" xr:uid="{1600BF12-E993-4487-A2C6-FD7C87B6E1E8}">
      <formula1>"INVESTIMENTO, DESPESA"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5C60CE-4360-4DEE-A0BA-94A7AC4F32EF}">
  <dimension ref="A2:H11"/>
  <sheetViews>
    <sheetView showGridLines="0" workbookViewId="0">
      <selection activeCell="I24" sqref="I24"/>
    </sheetView>
  </sheetViews>
  <sheetFormatPr defaultColWidth="9.109375" defaultRowHeight="13.2" x14ac:dyDescent="0.25"/>
  <cols>
    <col min="1" max="1" width="9.109375" style="104" customWidth="1"/>
    <col min="2" max="2" width="10.5546875" style="104" bestFit="1" customWidth="1"/>
    <col min="3" max="3" width="8.21875" style="104" bestFit="1" customWidth="1"/>
    <col min="4" max="4" width="9.5546875" style="104" bestFit="1" customWidth="1"/>
    <col min="5" max="5" width="8.21875" style="104" bestFit="1" customWidth="1"/>
    <col min="6" max="6" width="9.5546875" style="104" bestFit="1" customWidth="1"/>
    <col min="7" max="7" width="23" style="104" bestFit="1" customWidth="1"/>
    <col min="8" max="8" width="9" style="104" bestFit="1" customWidth="1"/>
    <col min="9" max="16384" width="9.109375" style="104"/>
  </cols>
  <sheetData>
    <row r="2" spans="1:8" ht="13.8" x14ac:dyDescent="0.25">
      <c r="A2" s="105"/>
      <c r="B2" s="117"/>
      <c r="C2" s="117"/>
      <c r="D2" s="105"/>
      <c r="E2" s="105"/>
      <c r="F2" s="105"/>
      <c r="G2" s="105"/>
      <c r="H2" s="105"/>
    </row>
    <row r="3" spans="1:8" ht="13.8" x14ac:dyDescent="0.25">
      <c r="A3" s="105"/>
      <c r="B3" s="113" t="s">
        <v>188</v>
      </c>
      <c r="C3" s="116" t="s">
        <v>187</v>
      </c>
      <c r="D3" s="115"/>
      <c r="E3" s="116" t="s">
        <v>186</v>
      </c>
      <c r="F3" s="115"/>
      <c r="G3" s="114" t="s">
        <v>185</v>
      </c>
      <c r="H3" s="114" t="s">
        <v>184</v>
      </c>
    </row>
    <row r="4" spans="1:8" ht="13.8" x14ac:dyDescent="0.25">
      <c r="A4" s="105"/>
      <c r="B4" s="113" t="s">
        <v>183</v>
      </c>
      <c r="C4" s="112" t="s">
        <v>182</v>
      </c>
      <c r="D4" s="111" t="s">
        <v>181</v>
      </c>
      <c r="E4" s="112" t="s">
        <v>182</v>
      </c>
      <c r="F4" s="111" t="s">
        <v>181</v>
      </c>
      <c r="G4" s="110" t="s">
        <v>180</v>
      </c>
      <c r="H4" s="110"/>
    </row>
    <row r="5" spans="1:8" ht="13.8" x14ac:dyDescent="0.25">
      <c r="A5" s="105"/>
      <c r="B5" s="109">
        <v>0</v>
      </c>
      <c r="C5" s="106">
        <f>'Fluxo de Caixa Previsto'!M19</f>
        <v>36272.79</v>
      </c>
      <c r="D5" s="106">
        <f>'Fluxo de Caixa Realizado'!M19</f>
        <v>36272.79</v>
      </c>
      <c r="E5" s="106">
        <f>C5</f>
        <v>36272.79</v>
      </c>
      <c r="F5" s="106">
        <f>D5</f>
        <v>36272.79</v>
      </c>
      <c r="G5" s="106">
        <f>F5-E5</f>
        <v>0</v>
      </c>
      <c r="H5" s="108">
        <f>IF(E5=0,"",F5/E5-1)</f>
        <v>0</v>
      </c>
    </row>
    <row r="6" spans="1:8" ht="13.8" x14ac:dyDescent="0.25">
      <c r="A6" s="105"/>
      <c r="B6" s="109">
        <f>B5+1</f>
        <v>1</v>
      </c>
      <c r="C6" s="106">
        <f>'Fluxo de Caixa Previsto'!N19</f>
        <v>35972.79</v>
      </c>
      <c r="D6" s="106">
        <f>'Fluxo de Caixa Realizado'!N19</f>
        <v>35972.79</v>
      </c>
      <c r="E6" s="106">
        <f>E5+C6</f>
        <v>72245.58</v>
      </c>
      <c r="F6" s="106">
        <f>F5+D6</f>
        <v>72245.58</v>
      </c>
      <c r="G6" s="106">
        <f>F6-E6</f>
        <v>0</v>
      </c>
      <c r="H6" s="108">
        <f>F6/E6-1</f>
        <v>0</v>
      </c>
    </row>
    <row r="7" spans="1:8" ht="13.8" x14ac:dyDescent="0.25">
      <c r="A7" s="105"/>
      <c r="B7" s="109">
        <f>B6+1</f>
        <v>2</v>
      </c>
      <c r="C7" s="106">
        <f>'Fluxo de Caixa Previsto'!O19</f>
        <v>35972.79</v>
      </c>
      <c r="D7" s="106">
        <f>'Fluxo de Caixa Realizado'!O19</f>
        <v>0</v>
      </c>
      <c r="E7" s="106">
        <f>E6+C7</f>
        <v>108218.37</v>
      </c>
      <c r="F7" s="106">
        <f>F6+D7</f>
        <v>72245.58</v>
      </c>
      <c r="G7" s="106">
        <f>F7-E7</f>
        <v>-35972.789999999994</v>
      </c>
      <c r="H7" s="108">
        <f>F7/E7-1</f>
        <v>-0.33240927580040247</v>
      </c>
    </row>
    <row r="8" spans="1:8" ht="13.8" x14ac:dyDescent="0.25">
      <c r="A8" s="105"/>
      <c r="B8" s="109">
        <f>B7+1</f>
        <v>3</v>
      </c>
      <c r="C8" s="106">
        <f>'Fluxo de Caixa Previsto'!P19</f>
        <v>35972.79</v>
      </c>
      <c r="D8" s="106">
        <f>'Fluxo de Caixa Realizado'!P19</f>
        <v>0</v>
      </c>
      <c r="E8" s="106">
        <f>E7+C8</f>
        <v>144191.16</v>
      </c>
      <c r="F8" s="106">
        <f>F7+D8</f>
        <v>72245.58</v>
      </c>
      <c r="G8" s="106">
        <f>F8-E8</f>
        <v>-71945.58</v>
      </c>
      <c r="H8" s="108">
        <f>F8/E8-1</f>
        <v>-0.49895971431258335</v>
      </c>
    </row>
    <row r="9" spans="1:8" ht="13.8" x14ac:dyDescent="0.25">
      <c r="A9" s="105"/>
      <c r="B9" s="107" t="s">
        <v>158</v>
      </c>
      <c r="C9" s="106">
        <f>SUM(C5:C8)</f>
        <v>144191.16</v>
      </c>
      <c r="D9" s="106">
        <f>SUM(D5:D8)</f>
        <v>72245.58</v>
      </c>
      <c r="E9" s="105"/>
      <c r="F9" s="105"/>
      <c r="G9" s="105"/>
      <c r="H9" s="105"/>
    </row>
    <row r="10" spans="1:8" ht="13.8" x14ac:dyDescent="0.25">
      <c r="A10" s="105"/>
      <c r="B10" s="107" t="s">
        <v>179</v>
      </c>
      <c r="C10" s="106">
        <f>C9-D9</f>
        <v>71945.58</v>
      </c>
      <c r="D10" s="105"/>
      <c r="E10" s="105"/>
      <c r="F10" s="105"/>
      <c r="G10" s="105"/>
      <c r="H10" s="105"/>
    </row>
    <row r="11" spans="1:8" ht="13.8" x14ac:dyDescent="0.25">
      <c r="A11" s="105"/>
      <c r="B11" s="105"/>
      <c r="C11" s="105"/>
      <c r="D11" s="105"/>
      <c r="E11" s="105"/>
      <c r="F11" s="105"/>
      <c r="G11" s="105"/>
      <c r="H11" s="105"/>
    </row>
  </sheetData>
  <mergeCells count="2">
    <mergeCell ref="C3:D3"/>
    <mergeCell ref="E3:F3"/>
  </mergeCells>
  <pageMargins left="0.511811024" right="0.511811024" top="0.78740157499999996" bottom="0.78740157499999996" header="0.31496062000000002" footer="0.31496062000000002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FB80CC-635C-42BC-8211-E03504CF59AF}">
  <sheetPr codeName="Plan3"/>
  <dimension ref="A5:U16"/>
  <sheetViews>
    <sheetView showGridLines="0" workbookViewId="0">
      <selection activeCell="S12" sqref="S12"/>
    </sheetView>
  </sheetViews>
  <sheetFormatPr defaultRowHeight="13.2" x14ac:dyDescent="0.25"/>
  <cols>
    <col min="1" max="1" width="3" style="118" customWidth="1"/>
    <col min="2" max="2" width="13.5546875" style="118" customWidth="1"/>
    <col min="3" max="3" width="4" style="118" customWidth="1"/>
    <col min="4" max="4" width="4.88671875" style="118" customWidth="1"/>
    <col min="5" max="10" width="11" style="118" customWidth="1"/>
    <col min="11" max="11" width="3" style="118" customWidth="1"/>
    <col min="12" max="255" width="9" style="118" customWidth="1"/>
    <col min="256" max="16384" width="8.88671875" style="118"/>
  </cols>
  <sheetData>
    <row r="5" spans="1:21" ht="18" customHeight="1" x14ac:dyDescent="0.25">
      <c r="B5" s="138" t="s">
        <v>196</v>
      </c>
      <c r="C5" s="137"/>
      <c r="D5" s="137"/>
      <c r="E5" s="137"/>
      <c r="F5" s="137"/>
      <c r="G5" s="137"/>
      <c r="H5" s="137"/>
      <c r="I5" s="137"/>
      <c r="J5" s="136"/>
    </row>
    <row r="6" spans="1:21" ht="18" customHeight="1" x14ac:dyDescent="0.25">
      <c r="A6" s="127"/>
      <c r="B6" s="135" t="s">
        <v>165</v>
      </c>
      <c r="C6" s="134"/>
      <c r="D6" s="134"/>
      <c r="E6" s="133" t="s">
        <v>195</v>
      </c>
      <c r="F6" s="133"/>
      <c r="G6" s="133"/>
      <c r="H6" s="133"/>
      <c r="I6" s="133"/>
      <c r="J6" s="132"/>
      <c r="K6" s="127"/>
      <c r="L6" s="127"/>
      <c r="M6" s="127"/>
      <c r="N6" s="127"/>
      <c r="O6" s="127"/>
      <c r="P6" s="127"/>
      <c r="Q6" s="127"/>
      <c r="R6" s="127"/>
      <c r="S6" s="127"/>
      <c r="T6" s="127"/>
      <c r="U6" s="127"/>
    </row>
    <row r="7" spans="1:21" ht="18" customHeight="1" x14ac:dyDescent="0.25">
      <c r="A7" s="127"/>
      <c r="B7" s="135" t="s">
        <v>194</v>
      </c>
      <c r="C7" s="134"/>
      <c r="D7" s="134"/>
      <c r="E7" s="133" t="s">
        <v>193</v>
      </c>
      <c r="F7" s="133"/>
      <c r="G7" s="133"/>
      <c r="H7" s="133"/>
      <c r="I7" s="133"/>
      <c r="J7" s="132"/>
      <c r="K7" s="127"/>
      <c r="O7" s="127"/>
      <c r="P7" s="127"/>
      <c r="Q7" s="127"/>
      <c r="R7" s="127"/>
      <c r="S7" s="127"/>
      <c r="T7" s="127"/>
      <c r="U7" s="127"/>
    </row>
    <row r="8" spans="1:21" ht="18" customHeight="1" x14ac:dyDescent="0.25">
      <c r="A8" s="127"/>
      <c r="B8" s="131" t="s">
        <v>192</v>
      </c>
      <c r="C8" s="130"/>
      <c r="D8" s="130"/>
      <c r="E8" s="129">
        <v>45769</v>
      </c>
      <c r="F8" s="129"/>
      <c r="G8" s="129"/>
      <c r="H8" s="129"/>
      <c r="I8" s="129"/>
      <c r="J8" s="128"/>
      <c r="K8" s="127"/>
      <c r="O8" s="127"/>
      <c r="P8" s="127"/>
      <c r="Q8" s="127"/>
      <c r="R8" s="127"/>
      <c r="S8" s="127"/>
      <c r="T8" s="127"/>
      <c r="U8" s="127"/>
    </row>
    <row r="9" spans="1:21" ht="18" customHeight="1" x14ac:dyDescent="0.25">
      <c r="B9" s="126" t="s">
        <v>191</v>
      </c>
      <c r="C9" s="125"/>
      <c r="D9" s="125"/>
      <c r="E9" s="125"/>
      <c r="F9" s="125"/>
      <c r="G9" s="125"/>
      <c r="H9" s="125"/>
      <c r="I9" s="125"/>
      <c r="J9" s="124"/>
    </row>
    <row r="10" spans="1:21" s="119" customFormat="1" x14ac:dyDescent="0.25">
      <c r="B10" s="123">
        <v>45761</v>
      </c>
      <c r="C10" s="122" t="s">
        <v>190</v>
      </c>
      <c r="D10" s="121"/>
      <c r="E10" s="121"/>
      <c r="F10" s="121"/>
      <c r="G10" s="121"/>
      <c r="H10" s="121"/>
      <c r="I10" s="121"/>
      <c r="J10" s="120"/>
    </row>
    <row r="11" spans="1:21" s="119" customFormat="1" x14ac:dyDescent="0.25">
      <c r="B11" s="123">
        <v>45769</v>
      </c>
      <c r="C11" s="122" t="s">
        <v>189</v>
      </c>
      <c r="D11" s="121"/>
      <c r="E11" s="121"/>
      <c r="F11" s="121"/>
      <c r="G11" s="121"/>
      <c r="H11" s="121"/>
      <c r="I11" s="121"/>
      <c r="J11" s="120"/>
    </row>
    <row r="12" spans="1:21" s="119" customFormat="1" ht="30" customHeight="1" x14ac:dyDescent="0.25">
      <c r="B12" s="123"/>
      <c r="C12" s="122"/>
      <c r="D12" s="121"/>
      <c r="E12" s="121"/>
      <c r="F12" s="121"/>
      <c r="G12" s="121"/>
      <c r="H12" s="121"/>
      <c r="I12" s="121"/>
      <c r="J12" s="120"/>
    </row>
    <row r="13" spans="1:21" s="119" customFormat="1" ht="30" customHeight="1" x14ac:dyDescent="0.25">
      <c r="B13" s="123"/>
      <c r="C13" s="122"/>
      <c r="D13" s="121"/>
      <c r="E13" s="121"/>
      <c r="F13" s="121"/>
      <c r="G13" s="121"/>
      <c r="H13" s="121"/>
      <c r="I13" s="121"/>
      <c r="J13" s="120"/>
    </row>
    <row r="14" spans="1:21" s="119" customFormat="1" ht="30" customHeight="1" x14ac:dyDescent="0.25">
      <c r="B14" s="123"/>
      <c r="C14" s="122"/>
      <c r="D14" s="121"/>
      <c r="E14" s="121"/>
      <c r="F14" s="121"/>
      <c r="G14" s="121"/>
      <c r="H14" s="121"/>
      <c r="I14" s="121"/>
      <c r="J14" s="120"/>
    </row>
    <row r="15" spans="1:21" s="119" customFormat="1" ht="30" customHeight="1" x14ac:dyDescent="0.25">
      <c r="B15" s="123"/>
      <c r="C15" s="122"/>
      <c r="D15" s="121"/>
      <c r="E15" s="121"/>
      <c r="F15" s="121"/>
      <c r="G15" s="121"/>
      <c r="H15" s="121"/>
      <c r="I15" s="121"/>
      <c r="J15" s="120"/>
    </row>
    <row r="16" spans="1:21" s="119" customFormat="1" ht="30" customHeight="1" x14ac:dyDescent="0.25">
      <c r="B16" s="123"/>
      <c r="C16" s="122"/>
      <c r="D16" s="121"/>
      <c r="E16" s="121"/>
      <c r="F16" s="121"/>
      <c r="G16" s="121"/>
      <c r="H16" s="121"/>
      <c r="I16" s="121"/>
      <c r="J16" s="120"/>
    </row>
  </sheetData>
  <mergeCells count="15">
    <mergeCell ref="C15:J15"/>
    <mergeCell ref="C16:J16"/>
    <mergeCell ref="C11:J11"/>
    <mergeCell ref="C12:J12"/>
    <mergeCell ref="C13:J13"/>
    <mergeCell ref="C14:J14"/>
    <mergeCell ref="C10:J10"/>
    <mergeCell ref="B9:J9"/>
    <mergeCell ref="B5:J5"/>
    <mergeCell ref="B6:D6"/>
    <mergeCell ref="E6:J6"/>
    <mergeCell ref="E7:J7"/>
    <mergeCell ref="B7:D7"/>
    <mergeCell ref="B8:D8"/>
    <mergeCell ref="E8:J8"/>
  </mergeCells>
  <pageMargins left="0.75" right="0.75" top="1" bottom="1" header="0.49212598499999999" footer="0.49212598499999999"/>
  <pageSetup paperSize="9" orientation="portrait" horizontalDpi="300" verticalDpi="0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24A70E-F75F-41AD-BEB7-FA64428A3072}">
  <sheetPr codeName="Plan1">
    <pageSetUpPr fitToPage="1"/>
  </sheetPr>
  <dimension ref="A1:AJ15"/>
  <sheetViews>
    <sheetView showGridLines="0" zoomScale="80" zoomScaleNormal="80" workbookViewId="0">
      <pane xSplit="7" ySplit="7" topLeftCell="H8" activePane="bottomRight" state="frozen"/>
      <selection activeCell="S12" sqref="S12"/>
      <selection pane="topRight" activeCell="S12" sqref="S12"/>
      <selection pane="bottomLeft" activeCell="S12" sqref="S12"/>
      <selection pane="bottomRight" activeCell="S12" sqref="S12"/>
    </sheetView>
  </sheetViews>
  <sheetFormatPr defaultColWidth="9.109375" defaultRowHeight="10.199999999999999" x14ac:dyDescent="0.25"/>
  <cols>
    <col min="1" max="1" width="4.6640625" style="139" customWidth="1"/>
    <col min="2" max="2" width="11.5546875" style="139" customWidth="1"/>
    <col min="3" max="3" width="9.6640625" style="139" customWidth="1"/>
    <col min="4" max="4" width="26.33203125" style="139" customWidth="1"/>
    <col min="5" max="5" width="25.88671875" style="142" customWidth="1"/>
    <col min="6" max="6" width="17.5546875" style="139" customWidth="1"/>
    <col min="7" max="7" width="13.109375" style="141" customWidth="1"/>
    <col min="8" max="8" width="13.6640625" style="141" customWidth="1"/>
    <col min="9" max="9" width="28.88671875" style="140" customWidth="1"/>
    <col min="10" max="10" width="27.6640625" style="140" customWidth="1"/>
    <col min="11" max="11" width="17.44140625" style="139" hidden="1" customWidth="1"/>
    <col min="12" max="12" width="15.6640625" style="139" customWidth="1"/>
    <col min="13" max="15" width="9.109375" style="139"/>
    <col min="16" max="16" width="8.88671875" style="139" customWidth="1"/>
    <col min="17" max="17" width="10" style="139" customWidth="1"/>
    <col min="18" max="18" width="14.33203125" style="139" customWidth="1"/>
    <col min="19" max="16384" width="9.109375" style="139"/>
  </cols>
  <sheetData>
    <row r="1" spans="1:36" ht="13.8" thickBot="1" x14ac:dyDescent="0.3">
      <c r="A1" s="201" t="s">
        <v>288</v>
      </c>
      <c r="B1" s="200"/>
      <c r="C1" s="200"/>
      <c r="D1" s="200"/>
      <c r="E1" s="200"/>
      <c r="F1" s="200"/>
      <c r="G1" s="200"/>
      <c r="H1" s="199"/>
      <c r="I1" s="198"/>
      <c r="J1" s="198"/>
      <c r="K1" s="197"/>
      <c r="L1" s="196"/>
      <c r="AF1" s="195" t="s">
        <v>287</v>
      </c>
      <c r="AG1" s="194"/>
      <c r="AH1" s="157"/>
      <c r="AI1" s="193" t="s">
        <v>286</v>
      </c>
      <c r="AJ1" s="192"/>
    </row>
    <row r="2" spans="1:36" ht="13.2" x14ac:dyDescent="0.25">
      <c r="A2" s="190"/>
      <c r="B2" s="189"/>
      <c r="C2" s="189"/>
      <c r="D2" s="189"/>
      <c r="E2" s="189"/>
      <c r="F2" s="189"/>
      <c r="G2" s="189"/>
      <c r="L2" s="188"/>
      <c r="AF2" s="187"/>
      <c r="AG2" s="186"/>
      <c r="AH2" s="157"/>
      <c r="AI2" s="185"/>
      <c r="AJ2" s="184"/>
    </row>
    <row r="3" spans="1:36" ht="13.2" x14ac:dyDescent="0.25">
      <c r="A3" s="190"/>
      <c r="B3" s="189"/>
      <c r="C3" s="189"/>
      <c r="D3" s="189"/>
      <c r="E3" s="189"/>
      <c r="F3" s="189"/>
      <c r="G3" s="189"/>
      <c r="J3" s="191"/>
      <c r="L3" s="188"/>
      <c r="AF3" s="187"/>
      <c r="AG3" s="186"/>
      <c r="AH3" s="157"/>
      <c r="AI3" s="185"/>
      <c r="AJ3" s="184"/>
    </row>
    <row r="4" spans="1:36" ht="13.2" x14ac:dyDescent="0.25">
      <c r="A4" s="190" t="str">
        <f>Capa!E6</f>
        <v>Picke Your Driver</v>
      </c>
      <c r="B4" s="189"/>
      <c r="C4" s="189"/>
      <c r="D4" s="189"/>
      <c r="E4" s="189"/>
      <c r="F4" s="189"/>
      <c r="G4" s="189"/>
      <c r="L4" s="188"/>
      <c r="AF4" s="187"/>
      <c r="AG4" s="186"/>
      <c r="AH4" s="157"/>
      <c r="AI4" s="185"/>
      <c r="AJ4" s="184"/>
    </row>
    <row r="5" spans="1:36" ht="27" thickBot="1" x14ac:dyDescent="0.3">
      <c r="A5" s="183"/>
      <c r="B5" s="182"/>
      <c r="C5" s="182"/>
      <c r="D5" s="182"/>
      <c r="E5" s="182"/>
      <c r="F5" s="182"/>
      <c r="G5" s="182"/>
      <c r="H5" s="180"/>
      <c r="I5" s="181"/>
      <c r="J5" s="181"/>
      <c r="K5" s="180"/>
      <c r="L5" s="179"/>
      <c r="AF5" s="178" t="s">
        <v>285</v>
      </c>
      <c r="AG5" s="177">
        <v>1</v>
      </c>
      <c r="AH5" s="157"/>
      <c r="AI5" s="178" t="s">
        <v>284</v>
      </c>
      <c r="AJ5" s="177">
        <v>1</v>
      </c>
    </row>
    <row r="6" spans="1:36" ht="27" thickBot="1" x14ac:dyDescent="0.3">
      <c r="A6" s="176" t="s">
        <v>283</v>
      </c>
      <c r="B6" s="175" t="s">
        <v>282</v>
      </c>
      <c r="C6" s="175"/>
      <c r="D6" s="174" t="s">
        <v>281</v>
      </c>
      <c r="E6" s="173"/>
      <c r="F6" s="172"/>
      <c r="G6" s="171" t="s">
        <v>280</v>
      </c>
      <c r="H6" s="171" t="s">
        <v>279</v>
      </c>
      <c r="I6" s="170" t="s">
        <v>278</v>
      </c>
      <c r="J6" s="169" t="s">
        <v>277</v>
      </c>
      <c r="K6" s="168"/>
      <c r="L6" s="167" t="s">
        <v>276</v>
      </c>
      <c r="AF6" s="156" t="s">
        <v>275</v>
      </c>
      <c r="AG6" s="155">
        <v>2</v>
      </c>
      <c r="AH6" s="157"/>
      <c r="AI6" s="156" t="s">
        <v>274</v>
      </c>
      <c r="AJ6" s="155">
        <v>2</v>
      </c>
    </row>
    <row r="7" spans="1:36" s="154" customFormat="1" ht="31.2" thickBot="1" x14ac:dyDescent="0.3">
      <c r="A7" s="166"/>
      <c r="B7" s="165" t="s">
        <v>273</v>
      </c>
      <c r="C7" s="165" t="s">
        <v>272</v>
      </c>
      <c r="D7" s="164" t="s">
        <v>271</v>
      </c>
      <c r="E7" s="164" t="s">
        <v>270</v>
      </c>
      <c r="F7" s="163" t="s">
        <v>269</v>
      </c>
      <c r="G7" s="162"/>
      <c r="H7" s="162"/>
      <c r="I7" s="161"/>
      <c r="J7" s="160"/>
      <c r="K7" s="159" t="s">
        <v>268</v>
      </c>
      <c r="L7" s="158"/>
      <c r="AF7" s="156" t="s">
        <v>267</v>
      </c>
      <c r="AG7" s="155">
        <v>3</v>
      </c>
      <c r="AH7" s="157"/>
      <c r="AI7" s="156" t="s">
        <v>266</v>
      </c>
      <c r="AJ7" s="155">
        <v>3</v>
      </c>
    </row>
    <row r="8" spans="1:36" ht="39.6" x14ac:dyDescent="0.25">
      <c r="A8" s="152" t="s">
        <v>265</v>
      </c>
      <c r="B8" s="153" t="s">
        <v>247</v>
      </c>
      <c r="C8" s="153" t="s">
        <v>264</v>
      </c>
      <c r="D8" s="153" t="s">
        <v>263</v>
      </c>
      <c r="E8" s="153" t="s">
        <v>262</v>
      </c>
      <c r="F8" s="153" t="s">
        <v>261</v>
      </c>
      <c r="G8" s="151" t="s">
        <v>242</v>
      </c>
      <c r="H8" s="153" t="s">
        <v>209</v>
      </c>
      <c r="I8" s="153" t="s">
        <v>260</v>
      </c>
      <c r="J8" s="153" t="s">
        <v>259</v>
      </c>
      <c r="K8" s="149" t="s">
        <v>258</v>
      </c>
      <c r="L8" s="148">
        <f>Qualificar!K8</f>
        <v>8.0000000000000016E-2</v>
      </c>
      <c r="AF8" s="144" t="s">
        <v>257</v>
      </c>
      <c r="AG8" s="143">
        <v>4</v>
      </c>
      <c r="AH8" s="145"/>
      <c r="AI8" s="144" t="s">
        <v>256</v>
      </c>
      <c r="AJ8" s="143">
        <v>4</v>
      </c>
    </row>
    <row r="9" spans="1:36" ht="53.4" thickBot="1" x14ac:dyDescent="0.3">
      <c r="A9" s="152" t="s">
        <v>255</v>
      </c>
      <c r="B9" s="150" t="s">
        <v>247</v>
      </c>
      <c r="C9" s="150" t="s">
        <v>254</v>
      </c>
      <c r="D9" s="150" t="s">
        <v>253</v>
      </c>
      <c r="E9" s="150" t="s">
        <v>252</v>
      </c>
      <c r="F9" s="150" t="s">
        <v>251</v>
      </c>
      <c r="G9" s="151" t="s">
        <v>218</v>
      </c>
      <c r="H9" s="150" t="s">
        <v>209</v>
      </c>
      <c r="I9" s="150" t="s">
        <v>250</v>
      </c>
      <c r="J9" s="150" t="s">
        <v>249</v>
      </c>
      <c r="K9" s="149"/>
      <c r="L9" s="148">
        <f>Qualificar!K9</f>
        <v>0.32000000000000006</v>
      </c>
      <c r="AF9" s="147"/>
      <c r="AG9" s="146"/>
      <c r="AH9" s="145"/>
      <c r="AI9" s="144"/>
      <c r="AJ9" s="143"/>
    </row>
    <row r="10" spans="1:36" ht="53.4" thickBot="1" x14ac:dyDescent="0.3">
      <c r="A10" s="152" t="s">
        <v>248</v>
      </c>
      <c r="B10" s="150" t="s">
        <v>247</v>
      </c>
      <c r="C10" s="150" t="s">
        <v>246</v>
      </c>
      <c r="D10" s="150" t="s">
        <v>245</v>
      </c>
      <c r="E10" s="150" t="s">
        <v>244</v>
      </c>
      <c r="F10" s="150" t="s">
        <v>243</v>
      </c>
      <c r="G10" s="151" t="s">
        <v>242</v>
      </c>
      <c r="H10" s="150" t="s">
        <v>209</v>
      </c>
      <c r="I10" s="150" t="s">
        <v>241</v>
      </c>
      <c r="J10" s="150" t="s">
        <v>240</v>
      </c>
      <c r="K10" s="149"/>
      <c r="L10" s="148">
        <f>Qualificar!K10</f>
        <v>2.0000000000000004E-2</v>
      </c>
      <c r="AF10" s="147"/>
      <c r="AG10" s="146"/>
      <c r="AH10" s="145"/>
      <c r="AI10" s="144"/>
      <c r="AJ10" s="143"/>
    </row>
    <row r="11" spans="1:36" ht="53.4" thickBot="1" x14ac:dyDescent="0.3">
      <c r="A11" s="152" t="s">
        <v>239</v>
      </c>
      <c r="B11" s="150" t="s">
        <v>231</v>
      </c>
      <c r="C11" s="150" t="s">
        <v>238</v>
      </c>
      <c r="D11" s="150" t="s">
        <v>237</v>
      </c>
      <c r="E11" s="150" t="s">
        <v>236</v>
      </c>
      <c r="F11" s="150" t="s">
        <v>235</v>
      </c>
      <c r="G11" s="151" t="s">
        <v>226</v>
      </c>
      <c r="H11" s="150" t="s">
        <v>209</v>
      </c>
      <c r="I11" s="150" t="s">
        <v>234</v>
      </c>
      <c r="J11" s="150" t="s">
        <v>233</v>
      </c>
      <c r="K11" s="149"/>
      <c r="L11" s="148">
        <f>Qualificar!K11</f>
        <v>2.0000000000000004E-2</v>
      </c>
      <c r="AF11" s="147"/>
      <c r="AG11" s="146"/>
      <c r="AH11" s="145"/>
      <c r="AI11" s="144"/>
      <c r="AJ11" s="143"/>
    </row>
    <row r="12" spans="1:36" ht="40.200000000000003" thickBot="1" x14ac:dyDescent="0.3">
      <c r="A12" s="152" t="s">
        <v>232</v>
      </c>
      <c r="B12" s="150" t="s">
        <v>231</v>
      </c>
      <c r="C12" s="150" t="s">
        <v>230</v>
      </c>
      <c r="D12" s="150" t="s">
        <v>229</v>
      </c>
      <c r="E12" s="150" t="s">
        <v>228</v>
      </c>
      <c r="F12" s="150" t="s">
        <v>227</v>
      </c>
      <c r="G12" s="151" t="s">
        <v>226</v>
      </c>
      <c r="H12" s="150" t="s">
        <v>209</v>
      </c>
      <c r="I12" s="150" t="s">
        <v>225</v>
      </c>
      <c r="J12" s="150" t="s">
        <v>224</v>
      </c>
      <c r="K12" s="149"/>
      <c r="L12" s="148">
        <f>Qualificar!K12</f>
        <v>4.0000000000000008E-2</v>
      </c>
      <c r="AF12" s="147"/>
      <c r="AG12" s="146"/>
      <c r="AH12" s="145"/>
      <c r="AI12" s="144"/>
      <c r="AJ12" s="143"/>
    </row>
    <row r="13" spans="1:36" ht="53.4" thickBot="1" x14ac:dyDescent="0.3">
      <c r="A13" s="152" t="s">
        <v>223</v>
      </c>
      <c r="B13" s="150" t="s">
        <v>214</v>
      </c>
      <c r="C13" s="150" t="s">
        <v>222</v>
      </c>
      <c r="D13" s="150" t="s">
        <v>221</v>
      </c>
      <c r="E13" s="150" t="s">
        <v>220</v>
      </c>
      <c r="F13" s="150" t="s">
        <v>219</v>
      </c>
      <c r="G13" s="151" t="s">
        <v>218</v>
      </c>
      <c r="H13" s="150" t="s">
        <v>209</v>
      </c>
      <c r="I13" s="150" t="s">
        <v>217</v>
      </c>
      <c r="J13" s="150" t="s">
        <v>216</v>
      </c>
      <c r="K13" s="149"/>
      <c r="L13" s="148">
        <f>Qualificar!K13</f>
        <v>0.32000000000000006</v>
      </c>
      <c r="AF13" s="147"/>
      <c r="AG13" s="146"/>
      <c r="AH13" s="145"/>
      <c r="AI13" s="144"/>
      <c r="AJ13" s="143"/>
    </row>
    <row r="14" spans="1:36" ht="66.599999999999994" thickBot="1" x14ac:dyDescent="0.3">
      <c r="A14" s="152" t="s">
        <v>215</v>
      </c>
      <c r="B14" s="150" t="s">
        <v>214</v>
      </c>
      <c r="C14" s="150" t="s">
        <v>213</v>
      </c>
      <c r="D14" s="150" t="s">
        <v>212</v>
      </c>
      <c r="E14" s="150" t="s">
        <v>211</v>
      </c>
      <c r="F14" s="150" t="s">
        <v>210</v>
      </c>
      <c r="G14" s="151" t="s">
        <v>200</v>
      </c>
      <c r="H14" s="150" t="s">
        <v>209</v>
      </c>
      <c r="I14" s="150" t="s">
        <v>208</v>
      </c>
      <c r="J14" s="150" t="s">
        <v>207</v>
      </c>
      <c r="K14" s="149"/>
      <c r="L14" s="148">
        <f>Qualificar!K14</f>
        <v>2.0000000000000004E-2</v>
      </c>
      <c r="AF14" s="147"/>
      <c r="AG14" s="146"/>
      <c r="AH14" s="145"/>
      <c r="AI14" s="144"/>
      <c r="AJ14" s="143"/>
    </row>
    <row r="15" spans="1:36" ht="53.4" thickBot="1" x14ac:dyDescent="0.3">
      <c r="A15" s="152" t="s">
        <v>206</v>
      </c>
      <c r="B15" s="150" t="s">
        <v>205</v>
      </c>
      <c r="C15" s="150" t="s">
        <v>204</v>
      </c>
      <c r="D15" s="150" t="s">
        <v>203</v>
      </c>
      <c r="E15" s="150" t="s">
        <v>202</v>
      </c>
      <c r="F15" s="150" t="s">
        <v>201</v>
      </c>
      <c r="G15" s="151" t="s">
        <v>200</v>
      </c>
      <c r="H15" s="150" t="s">
        <v>199</v>
      </c>
      <c r="I15" s="150" t="s">
        <v>198</v>
      </c>
      <c r="J15" s="150" t="s">
        <v>197</v>
      </c>
      <c r="K15" s="149"/>
      <c r="L15" s="148">
        <f>Qualificar!K15</f>
        <v>2.0000000000000004E-2</v>
      </c>
      <c r="AF15" s="147"/>
      <c r="AG15" s="146"/>
      <c r="AH15" s="145"/>
      <c r="AI15" s="144"/>
      <c r="AJ15" s="143"/>
    </row>
  </sheetData>
  <mergeCells count="11">
    <mergeCell ref="A1:G3"/>
    <mergeCell ref="A4:G5"/>
    <mergeCell ref="A6:A7"/>
    <mergeCell ref="G6:G7"/>
    <mergeCell ref="D6:F6"/>
    <mergeCell ref="AI1:AJ1"/>
    <mergeCell ref="I6:I7"/>
    <mergeCell ref="J6:J7"/>
    <mergeCell ref="L6:L7"/>
    <mergeCell ref="AF1:AG1"/>
    <mergeCell ref="H6:H7"/>
  </mergeCells>
  <conditionalFormatting sqref="L8:L15">
    <cfRule type="cellIs" dxfId="8" priority="1" stopIfTrue="1" operator="between">
      <formula>0.005</formula>
      <formula>0.04</formula>
    </cfRule>
    <cfRule type="cellIs" dxfId="7" priority="2" stopIfTrue="1" operator="between">
      <formula>0.05</formula>
      <formula>0.17</formula>
    </cfRule>
    <cfRule type="cellIs" dxfId="6" priority="3" stopIfTrue="1" operator="between">
      <formula>0.18</formula>
      <formula>0.81</formula>
    </cfRule>
  </conditionalFormatting>
  <dataValidations count="1">
    <dataValidation type="list" allowBlank="1" showInputMessage="1" showErrorMessage="1" sqref="H8:H15 JD8:JD15 SZ8:SZ15 ACV8:ACV15 AMR8:AMR15 AWN8:AWN15 BGJ8:BGJ15 BQF8:BQF15 CAB8:CAB15 CJX8:CJX15 CTT8:CTT15 DDP8:DDP15 DNL8:DNL15 DXH8:DXH15 EHD8:EHD15 EQZ8:EQZ15 FAV8:FAV15 FKR8:FKR15 FUN8:FUN15 GEJ8:GEJ15 GOF8:GOF15 GYB8:GYB15 HHX8:HHX15 HRT8:HRT15 IBP8:IBP15 ILL8:ILL15 IVH8:IVH15 JFD8:JFD15 JOZ8:JOZ15 JYV8:JYV15 KIR8:KIR15 KSN8:KSN15 LCJ8:LCJ15 LMF8:LMF15 LWB8:LWB15 MFX8:MFX15 MPT8:MPT15 MZP8:MZP15 NJL8:NJL15 NTH8:NTH15 ODD8:ODD15 OMZ8:OMZ15 OWV8:OWV15 PGR8:PGR15 PQN8:PQN15 QAJ8:QAJ15 QKF8:QKF15 QUB8:QUB15 RDX8:RDX15 RNT8:RNT15 RXP8:RXP15 SHL8:SHL15 SRH8:SRH15 TBD8:TBD15 TKZ8:TKZ15 TUV8:TUV15 UER8:UER15 UON8:UON15 UYJ8:UYJ15 VIF8:VIF15 VSB8:VSB15 WBX8:WBX15 WLT8:WLT15 WVP8:WVP15 H65544:H65551 JD65544:JD65551 SZ65544:SZ65551 ACV65544:ACV65551 AMR65544:AMR65551 AWN65544:AWN65551 BGJ65544:BGJ65551 BQF65544:BQF65551 CAB65544:CAB65551 CJX65544:CJX65551 CTT65544:CTT65551 DDP65544:DDP65551 DNL65544:DNL65551 DXH65544:DXH65551 EHD65544:EHD65551 EQZ65544:EQZ65551 FAV65544:FAV65551 FKR65544:FKR65551 FUN65544:FUN65551 GEJ65544:GEJ65551 GOF65544:GOF65551 GYB65544:GYB65551 HHX65544:HHX65551 HRT65544:HRT65551 IBP65544:IBP65551 ILL65544:ILL65551 IVH65544:IVH65551 JFD65544:JFD65551 JOZ65544:JOZ65551 JYV65544:JYV65551 KIR65544:KIR65551 KSN65544:KSN65551 LCJ65544:LCJ65551 LMF65544:LMF65551 LWB65544:LWB65551 MFX65544:MFX65551 MPT65544:MPT65551 MZP65544:MZP65551 NJL65544:NJL65551 NTH65544:NTH65551 ODD65544:ODD65551 OMZ65544:OMZ65551 OWV65544:OWV65551 PGR65544:PGR65551 PQN65544:PQN65551 QAJ65544:QAJ65551 QKF65544:QKF65551 QUB65544:QUB65551 RDX65544:RDX65551 RNT65544:RNT65551 RXP65544:RXP65551 SHL65544:SHL65551 SRH65544:SRH65551 TBD65544:TBD65551 TKZ65544:TKZ65551 TUV65544:TUV65551 UER65544:UER65551 UON65544:UON65551 UYJ65544:UYJ65551 VIF65544:VIF65551 VSB65544:VSB65551 WBX65544:WBX65551 WLT65544:WLT65551 WVP65544:WVP65551 H131080:H131087 JD131080:JD131087 SZ131080:SZ131087 ACV131080:ACV131087 AMR131080:AMR131087 AWN131080:AWN131087 BGJ131080:BGJ131087 BQF131080:BQF131087 CAB131080:CAB131087 CJX131080:CJX131087 CTT131080:CTT131087 DDP131080:DDP131087 DNL131080:DNL131087 DXH131080:DXH131087 EHD131080:EHD131087 EQZ131080:EQZ131087 FAV131080:FAV131087 FKR131080:FKR131087 FUN131080:FUN131087 GEJ131080:GEJ131087 GOF131080:GOF131087 GYB131080:GYB131087 HHX131080:HHX131087 HRT131080:HRT131087 IBP131080:IBP131087 ILL131080:ILL131087 IVH131080:IVH131087 JFD131080:JFD131087 JOZ131080:JOZ131087 JYV131080:JYV131087 KIR131080:KIR131087 KSN131080:KSN131087 LCJ131080:LCJ131087 LMF131080:LMF131087 LWB131080:LWB131087 MFX131080:MFX131087 MPT131080:MPT131087 MZP131080:MZP131087 NJL131080:NJL131087 NTH131080:NTH131087 ODD131080:ODD131087 OMZ131080:OMZ131087 OWV131080:OWV131087 PGR131080:PGR131087 PQN131080:PQN131087 QAJ131080:QAJ131087 QKF131080:QKF131087 QUB131080:QUB131087 RDX131080:RDX131087 RNT131080:RNT131087 RXP131080:RXP131087 SHL131080:SHL131087 SRH131080:SRH131087 TBD131080:TBD131087 TKZ131080:TKZ131087 TUV131080:TUV131087 UER131080:UER131087 UON131080:UON131087 UYJ131080:UYJ131087 VIF131080:VIF131087 VSB131080:VSB131087 WBX131080:WBX131087 WLT131080:WLT131087 WVP131080:WVP131087 H196616:H196623 JD196616:JD196623 SZ196616:SZ196623 ACV196616:ACV196623 AMR196616:AMR196623 AWN196616:AWN196623 BGJ196616:BGJ196623 BQF196616:BQF196623 CAB196616:CAB196623 CJX196616:CJX196623 CTT196616:CTT196623 DDP196616:DDP196623 DNL196616:DNL196623 DXH196616:DXH196623 EHD196616:EHD196623 EQZ196616:EQZ196623 FAV196616:FAV196623 FKR196616:FKR196623 FUN196616:FUN196623 GEJ196616:GEJ196623 GOF196616:GOF196623 GYB196616:GYB196623 HHX196616:HHX196623 HRT196616:HRT196623 IBP196616:IBP196623 ILL196616:ILL196623 IVH196616:IVH196623 JFD196616:JFD196623 JOZ196616:JOZ196623 JYV196616:JYV196623 KIR196616:KIR196623 KSN196616:KSN196623 LCJ196616:LCJ196623 LMF196616:LMF196623 LWB196616:LWB196623 MFX196616:MFX196623 MPT196616:MPT196623 MZP196616:MZP196623 NJL196616:NJL196623 NTH196616:NTH196623 ODD196616:ODD196623 OMZ196616:OMZ196623 OWV196616:OWV196623 PGR196616:PGR196623 PQN196616:PQN196623 QAJ196616:QAJ196623 QKF196616:QKF196623 QUB196616:QUB196623 RDX196616:RDX196623 RNT196616:RNT196623 RXP196616:RXP196623 SHL196616:SHL196623 SRH196616:SRH196623 TBD196616:TBD196623 TKZ196616:TKZ196623 TUV196616:TUV196623 UER196616:UER196623 UON196616:UON196623 UYJ196616:UYJ196623 VIF196616:VIF196623 VSB196616:VSB196623 WBX196616:WBX196623 WLT196616:WLT196623 WVP196616:WVP196623 H262152:H262159 JD262152:JD262159 SZ262152:SZ262159 ACV262152:ACV262159 AMR262152:AMR262159 AWN262152:AWN262159 BGJ262152:BGJ262159 BQF262152:BQF262159 CAB262152:CAB262159 CJX262152:CJX262159 CTT262152:CTT262159 DDP262152:DDP262159 DNL262152:DNL262159 DXH262152:DXH262159 EHD262152:EHD262159 EQZ262152:EQZ262159 FAV262152:FAV262159 FKR262152:FKR262159 FUN262152:FUN262159 GEJ262152:GEJ262159 GOF262152:GOF262159 GYB262152:GYB262159 HHX262152:HHX262159 HRT262152:HRT262159 IBP262152:IBP262159 ILL262152:ILL262159 IVH262152:IVH262159 JFD262152:JFD262159 JOZ262152:JOZ262159 JYV262152:JYV262159 KIR262152:KIR262159 KSN262152:KSN262159 LCJ262152:LCJ262159 LMF262152:LMF262159 LWB262152:LWB262159 MFX262152:MFX262159 MPT262152:MPT262159 MZP262152:MZP262159 NJL262152:NJL262159 NTH262152:NTH262159 ODD262152:ODD262159 OMZ262152:OMZ262159 OWV262152:OWV262159 PGR262152:PGR262159 PQN262152:PQN262159 QAJ262152:QAJ262159 QKF262152:QKF262159 QUB262152:QUB262159 RDX262152:RDX262159 RNT262152:RNT262159 RXP262152:RXP262159 SHL262152:SHL262159 SRH262152:SRH262159 TBD262152:TBD262159 TKZ262152:TKZ262159 TUV262152:TUV262159 UER262152:UER262159 UON262152:UON262159 UYJ262152:UYJ262159 VIF262152:VIF262159 VSB262152:VSB262159 WBX262152:WBX262159 WLT262152:WLT262159 WVP262152:WVP262159 H327688:H327695 JD327688:JD327695 SZ327688:SZ327695 ACV327688:ACV327695 AMR327688:AMR327695 AWN327688:AWN327695 BGJ327688:BGJ327695 BQF327688:BQF327695 CAB327688:CAB327695 CJX327688:CJX327695 CTT327688:CTT327695 DDP327688:DDP327695 DNL327688:DNL327695 DXH327688:DXH327695 EHD327688:EHD327695 EQZ327688:EQZ327695 FAV327688:FAV327695 FKR327688:FKR327695 FUN327688:FUN327695 GEJ327688:GEJ327695 GOF327688:GOF327695 GYB327688:GYB327695 HHX327688:HHX327695 HRT327688:HRT327695 IBP327688:IBP327695 ILL327688:ILL327695 IVH327688:IVH327695 JFD327688:JFD327695 JOZ327688:JOZ327695 JYV327688:JYV327695 KIR327688:KIR327695 KSN327688:KSN327695 LCJ327688:LCJ327695 LMF327688:LMF327695 LWB327688:LWB327695 MFX327688:MFX327695 MPT327688:MPT327695 MZP327688:MZP327695 NJL327688:NJL327695 NTH327688:NTH327695 ODD327688:ODD327695 OMZ327688:OMZ327695 OWV327688:OWV327695 PGR327688:PGR327695 PQN327688:PQN327695 QAJ327688:QAJ327695 QKF327688:QKF327695 QUB327688:QUB327695 RDX327688:RDX327695 RNT327688:RNT327695 RXP327688:RXP327695 SHL327688:SHL327695 SRH327688:SRH327695 TBD327688:TBD327695 TKZ327688:TKZ327695 TUV327688:TUV327695 UER327688:UER327695 UON327688:UON327695 UYJ327688:UYJ327695 VIF327688:VIF327695 VSB327688:VSB327695 WBX327688:WBX327695 WLT327688:WLT327695 WVP327688:WVP327695 H393224:H393231 JD393224:JD393231 SZ393224:SZ393231 ACV393224:ACV393231 AMR393224:AMR393231 AWN393224:AWN393231 BGJ393224:BGJ393231 BQF393224:BQF393231 CAB393224:CAB393231 CJX393224:CJX393231 CTT393224:CTT393231 DDP393224:DDP393231 DNL393224:DNL393231 DXH393224:DXH393231 EHD393224:EHD393231 EQZ393224:EQZ393231 FAV393224:FAV393231 FKR393224:FKR393231 FUN393224:FUN393231 GEJ393224:GEJ393231 GOF393224:GOF393231 GYB393224:GYB393231 HHX393224:HHX393231 HRT393224:HRT393231 IBP393224:IBP393231 ILL393224:ILL393231 IVH393224:IVH393231 JFD393224:JFD393231 JOZ393224:JOZ393231 JYV393224:JYV393231 KIR393224:KIR393231 KSN393224:KSN393231 LCJ393224:LCJ393231 LMF393224:LMF393231 LWB393224:LWB393231 MFX393224:MFX393231 MPT393224:MPT393231 MZP393224:MZP393231 NJL393224:NJL393231 NTH393224:NTH393231 ODD393224:ODD393231 OMZ393224:OMZ393231 OWV393224:OWV393231 PGR393224:PGR393231 PQN393224:PQN393231 QAJ393224:QAJ393231 QKF393224:QKF393231 QUB393224:QUB393231 RDX393224:RDX393231 RNT393224:RNT393231 RXP393224:RXP393231 SHL393224:SHL393231 SRH393224:SRH393231 TBD393224:TBD393231 TKZ393224:TKZ393231 TUV393224:TUV393231 UER393224:UER393231 UON393224:UON393231 UYJ393224:UYJ393231 VIF393224:VIF393231 VSB393224:VSB393231 WBX393224:WBX393231 WLT393224:WLT393231 WVP393224:WVP393231 H458760:H458767 JD458760:JD458767 SZ458760:SZ458767 ACV458760:ACV458767 AMR458760:AMR458767 AWN458760:AWN458767 BGJ458760:BGJ458767 BQF458760:BQF458767 CAB458760:CAB458767 CJX458760:CJX458767 CTT458760:CTT458767 DDP458760:DDP458767 DNL458760:DNL458767 DXH458760:DXH458767 EHD458760:EHD458767 EQZ458760:EQZ458767 FAV458760:FAV458767 FKR458760:FKR458767 FUN458760:FUN458767 GEJ458760:GEJ458767 GOF458760:GOF458767 GYB458760:GYB458767 HHX458760:HHX458767 HRT458760:HRT458767 IBP458760:IBP458767 ILL458760:ILL458767 IVH458760:IVH458767 JFD458760:JFD458767 JOZ458760:JOZ458767 JYV458760:JYV458767 KIR458760:KIR458767 KSN458760:KSN458767 LCJ458760:LCJ458767 LMF458760:LMF458767 LWB458760:LWB458767 MFX458760:MFX458767 MPT458760:MPT458767 MZP458760:MZP458767 NJL458760:NJL458767 NTH458760:NTH458767 ODD458760:ODD458767 OMZ458760:OMZ458767 OWV458760:OWV458767 PGR458760:PGR458767 PQN458760:PQN458767 QAJ458760:QAJ458767 QKF458760:QKF458767 QUB458760:QUB458767 RDX458760:RDX458767 RNT458760:RNT458767 RXP458760:RXP458767 SHL458760:SHL458767 SRH458760:SRH458767 TBD458760:TBD458767 TKZ458760:TKZ458767 TUV458760:TUV458767 UER458760:UER458767 UON458760:UON458767 UYJ458760:UYJ458767 VIF458760:VIF458767 VSB458760:VSB458767 WBX458760:WBX458767 WLT458760:WLT458767 WVP458760:WVP458767 H524296:H524303 JD524296:JD524303 SZ524296:SZ524303 ACV524296:ACV524303 AMR524296:AMR524303 AWN524296:AWN524303 BGJ524296:BGJ524303 BQF524296:BQF524303 CAB524296:CAB524303 CJX524296:CJX524303 CTT524296:CTT524303 DDP524296:DDP524303 DNL524296:DNL524303 DXH524296:DXH524303 EHD524296:EHD524303 EQZ524296:EQZ524303 FAV524296:FAV524303 FKR524296:FKR524303 FUN524296:FUN524303 GEJ524296:GEJ524303 GOF524296:GOF524303 GYB524296:GYB524303 HHX524296:HHX524303 HRT524296:HRT524303 IBP524296:IBP524303 ILL524296:ILL524303 IVH524296:IVH524303 JFD524296:JFD524303 JOZ524296:JOZ524303 JYV524296:JYV524303 KIR524296:KIR524303 KSN524296:KSN524303 LCJ524296:LCJ524303 LMF524296:LMF524303 LWB524296:LWB524303 MFX524296:MFX524303 MPT524296:MPT524303 MZP524296:MZP524303 NJL524296:NJL524303 NTH524296:NTH524303 ODD524296:ODD524303 OMZ524296:OMZ524303 OWV524296:OWV524303 PGR524296:PGR524303 PQN524296:PQN524303 QAJ524296:QAJ524303 QKF524296:QKF524303 QUB524296:QUB524303 RDX524296:RDX524303 RNT524296:RNT524303 RXP524296:RXP524303 SHL524296:SHL524303 SRH524296:SRH524303 TBD524296:TBD524303 TKZ524296:TKZ524303 TUV524296:TUV524303 UER524296:UER524303 UON524296:UON524303 UYJ524296:UYJ524303 VIF524296:VIF524303 VSB524296:VSB524303 WBX524296:WBX524303 WLT524296:WLT524303 WVP524296:WVP524303 H589832:H589839 JD589832:JD589839 SZ589832:SZ589839 ACV589832:ACV589839 AMR589832:AMR589839 AWN589832:AWN589839 BGJ589832:BGJ589839 BQF589832:BQF589839 CAB589832:CAB589839 CJX589832:CJX589839 CTT589832:CTT589839 DDP589832:DDP589839 DNL589832:DNL589839 DXH589832:DXH589839 EHD589832:EHD589839 EQZ589832:EQZ589839 FAV589832:FAV589839 FKR589832:FKR589839 FUN589832:FUN589839 GEJ589832:GEJ589839 GOF589832:GOF589839 GYB589832:GYB589839 HHX589832:HHX589839 HRT589832:HRT589839 IBP589832:IBP589839 ILL589832:ILL589839 IVH589832:IVH589839 JFD589832:JFD589839 JOZ589832:JOZ589839 JYV589832:JYV589839 KIR589832:KIR589839 KSN589832:KSN589839 LCJ589832:LCJ589839 LMF589832:LMF589839 LWB589832:LWB589839 MFX589832:MFX589839 MPT589832:MPT589839 MZP589832:MZP589839 NJL589832:NJL589839 NTH589832:NTH589839 ODD589832:ODD589839 OMZ589832:OMZ589839 OWV589832:OWV589839 PGR589832:PGR589839 PQN589832:PQN589839 QAJ589832:QAJ589839 QKF589832:QKF589839 QUB589832:QUB589839 RDX589832:RDX589839 RNT589832:RNT589839 RXP589832:RXP589839 SHL589832:SHL589839 SRH589832:SRH589839 TBD589832:TBD589839 TKZ589832:TKZ589839 TUV589832:TUV589839 UER589832:UER589839 UON589832:UON589839 UYJ589832:UYJ589839 VIF589832:VIF589839 VSB589832:VSB589839 WBX589832:WBX589839 WLT589832:WLT589839 WVP589832:WVP589839 H655368:H655375 JD655368:JD655375 SZ655368:SZ655375 ACV655368:ACV655375 AMR655368:AMR655375 AWN655368:AWN655375 BGJ655368:BGJ655375 BQF655368:BQF655375 CAB655368:CAB655375 CJX655368:CJX655375 CTT655368:CTT655375 DDP655368:DDP655375 DNL655368:DNL655375 DXH655368:DXH655375 EHD655368:EHD655375 EQZ655368:EQZ655375 FAV655368:FAV655375 FKR655368:FKR655375 FUN655368:FUN655375 GEJ655368:GEJ655375 GOF655368:GOF655375 GYB655368:GYB655375 HHX655368:HHX655375 HRT655368:HRT655375 IBP655368:IBP655375 ILL655368:ILL655375 IVH655368:IVH655375 JFD655368:JFD655375 JOZ655368:JOZ655375 JYV655368:JYV655375 KIR655368:KIR655375 KSN655368:KSN655375 LCJ655368:LCJ655375 LMF655368:LMF655375 LWB655368:LWB655375 MFX655368:MFX655375 MPT655368:MPT655375 MZP655368:MZP655375 NJL655368:NJL655375 NTH655368:NTH655375 ODD655368:ODD655375 OMZ655368:OMZ655375 OWV655368:OWV655375 PGR655368:PGR655375 PQN655368:PQN655375 QAJ655368:QAJ655375 QKF655368:QKF655375 QUB655368:QUB655375 RDX655368:RDX655375 RNT655368:RNT655375 RXP655368:RXP655375 SHL655368:SHL655375 SRH655368:SRH655375 TBD655368:TBD655375 TKZ655368:TKZ655375 TUV655368:TUV655375 UER655368:UER655375 UON655368:UON655375 UYJ655368:UYJ655375 VIF655368:VIF655375 VSB655368:VSB655375 WBX655368:WBX655375 WLT655368:WLT655375 WVP655368:WVP655375 H720904:H720911 JD720904:JD720911 SZ720904:SZ720911 ACV720904:ACV720911 AMR720904:AMR720911 AWN720904:AWN720911 BGJ720904:BGJ720911 BQF720904:BQF720911 CAB720904:CAB720911 CJX720904:CJX720911 CTT720904:CTT720911 DDP720904:DDP720911 DNL720904:DNL720911 DXH720904:DXH720911 EHD720904:EHD720911 EQZ720904:EQZ720911 FAV720904:FAV720911 FKR720904:FKR720911 FUN720904:FUN720911 GEJ720904:GEJ720911 GOF720904:GOF720911 GYB720904:GYB720911 HHX720904:HHX720911 HRT720904:HRT720911 IBP720904:IBP720911 ILL720904:ILL720911 IVH720904:IVH720911 JFD720904:JFD720911 JOZ720904:JOZ720911 JYV720904:JYV720911 KIR720904:KIR720911 KSN720904:KSN720911 LCJ720904:LCJ720911 LMF720904:LMF720911 LWB720904:LWB720911 MFX720904:MFX720911 MPT720904:MPT720911 MZP720904:MZP720911 NJL720904:NJL720911 NTH720904:NTH720911 ODD720904:ODD720911 OMZ720904:OMZ720911 OWV720904:OWV720911 PGR720904:PGR720911 PQN720904:PQN720911 QAJ720904:QAJ720911 QKF720904:QKF720911 QUB720904:QUB720911 RDX720904:RDX720911 RNT720904:RNT720911 RXP720904:RXP720911 SHL720904:SHL720911 SRH720904:SRH720911 TBD720904:TBD720911 TKZ720904:TKZ720911 TUV720904:TUV720911 UER720904:UER720911 UON720904:UON720911 UYJ720904:UYJ720911 VIF720904:VIF720911 VSB720904:VSB720911 WBX720904:WBX720911 WLT720904:WLT720911 WVP720904:WVP720911 H786440:H786447 JD786440:JD786447 SZ786440:SZ786447 ACV786440:ACV786447 AMR786440:AMR786447 AWN786440:AWN786447 BGJ786440:BGJ786447 BQF786440:BQF786447 CAB786440:CAB786447 CJX786440:CJX786447 CTT786440:CTT786447 DDP786440:DDP786447 DNL786440:DNL786447 DXH786440:DXH786447 EHD786440:EHD786447 EQZ786440:EQZ786447 FAV786440:FAV786447 FKR786440:FKR786447 FUN786440:FUN786447 GEJ786440:GEJ786447 GOF786440:GOF786447 GYB786440:GYB786447 HHX786440:HHX786447 HRT786440:HRT786447 IBP786440:IBP786447 ILL786440:ILL786447 IVH786440:IVH786447 JFD786440:JFD786447 JOZ786440:JOZ786447 JYV786440:JYV786447 KIR786440:KIR786447 KSN786440:KSN786447 LCJ786440:LCJ786447 LMF786440:LMF786447 LWB786440:LWB786447 MFX786440:MFX786447 MPT786440:MPT786447 MZP786440:MZP786447 NJL786440:NJL786447 NTH786440:NTH786447 ODD786440:ODD786447 OMZ786440:OMZ786447 OWV786440:OWV786447 PGR786440:PGR786447 PQN786440:PQN786447 QAJ786440:QAJ786447 QKF786440:QKF786447 QUB786440:QUB786447 RDX786440:RDX786447 RNT786440:RNT786447 RXP786440:RXP786447 SHL786440:SHL786447 SRH786440:SRH786447 TBD786440:TBD786447 TKZ786440:TKZ786447 TUV786440:TUV786447 UER786440:UER786447 UON786440:UON786447 UYJ786440:UYJ786447 VIF786440:VIF786447 VSB786440:VSB786447 WBX786440:WBX786447 WLT786440:WLT786447 WVP786440:WVP786447 H851976:H851983 JD851976:JD851983 SZ851976:SZ851983 ACV851976:ACV851983 AMR851976:AMR851983 AWN851976:AWN851983 BGJ851976:BGJ851983 BQF851976:BQF851983 CAB851976:CAB851983 CJX851976:CJX851983 CTT851976:CTT851983 DDP851976:DDP851983 DNL851976:DNL851983 DXH851976:DXH851983 EHD851976:EHD851983 EQZ851976:EQZ851983 FAV851976:FAV851983 FKR851976:FKR851983 FUN851976:FUN851983 GEJ851976:GEJ851983 GOF851976:GOF851983 GYB851976:GYB851983 HHX851976:HHX851983 HRT851976:HRT851983 IBP851976:IBP851983 ILL851976:ILL851983 IVH851976:IVH851983 JFD851976:JFD851983 JOZ851976:JOZ851983 JYV851976:JYV851983 KIR851976:KIR851983 KSN851976:KSN851983 LCJ851976:LCJ851983 LMF851976:LMF851983 LWB851976:LWB851983 MFX851976:MFX851983 MPT851976:MPT851983 MZP851976:MZP851983 NJL851976:NJL851983 NTH851976:NTH851983 ODD851976:ODD851983 OMZ851976:OMZ851983 OWV851976:OWV851983 PGR851976:PGR851983 PQN851976:PQN851983 QAJ851976:QAJ851983 QKF851976:QKF851983 QUB851976:QUB851983 RDX851976:RDX851983 RNT851976:RNT851983 RXP851976:RXP851983 SHL851976:SHL851983 SRH851976:SRH851983 TBD851976:TBD851983 TKZ851976:TKZ851983 TUV851976:TUV851983 UER851976:UER851983 UON851976:UON851983 UYJ851976:UYJ851983 VIF851976:VIF851983 VSB851976:VSB851983 WBX851976:WBX851983 WLT851976:WLT851983 WVP851976:WVP851983 H917512:H917519 JD917512:JD917519 SZ917512:SZ917519 ACV917512:ACV917519 AMR917512:AMR917519 AWN917512:AWN917519 BGJ917512:BGJ917519 BQF917512:BQF917519 CAB917512:CAB917519 CJX917512:CJX917519 CTT917512:CTT917519 DDP917512:DDP917519 DNL917512:DNL917519 DXH917512:DXH917519 EHD917512:EHD917519 EQZ917512:EQZ917519 FAV917512:FAV917519 FKR917512:FKR917519 FUN917512:FUN917519 GEJ917512:GEJ917519 GOF917512:GOF917519 GYB917512:GYB917519 HHX917512:HHX917519 HRT917512:HRT917519 IBP917512:IBP917519 ILL917512:ILL917519 IVH917512:IVH917519 JFD917512:JFD917519 JOZ917512:JOZ917519 JYV917512:JYV917519 KIR917512:KIR917519 KSN917512:KSN917519 LCJ917512:LCJ917519 LMF917512:LMF917519 LWB917512:LWB917519 MFX917512:MFX917519 MPT917512:MPT917519 MZP917512:MZP917519 NJL917512:NJL917519 NTH917512:NTH917519 ODD917512:ODD917519 OMZ917512:OMZ917519 OWV917512:OWV917519 PGR917512:PGR917519 PQN917512:PQN917519 QAJ917512:QAJ917519 QKF917512:QKF917519 QUB917512:QUB917519 RDX917512:RDX917519 RNT917512:RNT917519 RXP917512:RXP917519 SHL917512:SHL917519 SRH917512:SRH917519 TBD917512:TBD917519 TKZ917512:TKZ917519 TUV917512:TUV917519 UER917512:UER917519 UON917512:UON917519 UYJ917512:UYJ917519 VIF917512:VIF917519 VSB917512:VSB917519 WBX917512:WBX917519 WLT917512:WLT917519 WVP917512:WVP917519 H983048:H983055 JD983048:JD983055 SZ983048:SZ983055 ACV983048:ACV983055 AMR983048:AMR983055 AWN983048:AWN983055 BGJ983048:BGJ983055 BQF983048:BQF983055 CAB983048:CAB983055 CJX983048:CJX983055 CTT983048:CTT983055 DDP983048:DDP983055 DNL983048:DNL983055 DXH983048:DXH983055 EHD983048:EHD983055 EQZ983048:EQZ983055 FAV983048:FAV983055 FKR983048:FKR983055 FUN983048:FUN983055 GEJ983048:GEJ983055 GOF983048:GOF983055 GYB983048:GYB983055 HHX983048:HHX983055 HRT983048:HRT983055 IBP983048:IBP983055 ILL983048:ILL983055 IVH983048:IVH983055 JFD983048:JFD983055 JOZ983048:JOZ983055 JYV983048:JYV983055 KIR983048:KIR983055 KSN983048:KSN983055 LCJ983048:LCJ983055 LMF983048:LMF983055 LWB983048:LWB983055 MFX983048:MFX983055 MPT983048:MPT983055 MZP983048:MZP983055 NJL983048:NJL983055 NTH983048:NTH983055 ODD983048:ODD983055 OMZ983048:OMZ983055 OWV983048:OWV983055 PGR983048:PGR983055 PQN983048:PQN983055 QAJ983048:QAJ983055 QKF983048:QKF983055 QUB983048:QUB983055 RDX983048:RDX983055 RNT983048:RNT983055 RXP983048:RXP983055 SHL983048:SHL983055 SRH983048:SRH983055 TBD983048:TBD983055 TKZ983048:TKZ983055 TUV983048:TUV983055 UER983048:UER983055 UON983048:UON983055 UYJ983048:UYJ983055 VIF983048:VIF983055 VSB983048:VSB983055 WBX983048:WBX983055 WLT983048:WLT983055 WVP983048:WVP983055" xr:uid="{47B89347-BF6C-432D-94AB-21330AF918CB}">
      <formula1>"Evitar,Transferir,Mitigar,Aceitar"</formula1>
    </dataValidation>
  </dataValidations>
  <pageMargins left="0.39370078740157483" right="0.39370078740157483" top="0.39370078740157483" bottom="0.39370078740157483" header="0.31496062992125984" footer="0.31496062992125984"/>
  <pageSetup paperSize="9" scale="82" fitToHeight="3" orientation="landscape" r:id="rId1"/>
  <headerFooter alignWithMargins="0">
    <oddFooter>&amp;R&amp;D</oddFoot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A2C740-B50D-446E-9502-E5349955657D}">
  <sheetPr codeName="Plan2">
    <pageSetUpPr fitToPage="1"/>
  </sheetPr>
  <dimension ref="A1:AJ39"/>
  <sheetViews>
    <sheetView showGridLines="0" zoomScaleNormal="100" workbookViewId="0">
      <pane xSplit="5" ySplit="7" topLeftCell="F8" activePane="bottomRight" state="frozen"/>
      <selection activeCell="S12" sqref="S12"/>
      <selection pane="topRight" activeCell="S12" sqref="S12"/>
      <selection pane="bottomLeft" activeCell="S12" sqref="S12"/>
      <selection pane="bottomRight" activeCell="S12" sqref="S12"/>
    </sheetView>
  </sheetViews>
  <sheetFormatPr defaultColWidth="9.109375" defaultRowHeight="10.199999999999999" x14ac:dyDescent="0.25"/>
  <cols>
    <col min="1" max="1" width="4.6640625" style="139" customWidth="1"/>
    <col min="2" max="2" width="18.33203125" style="139" customWidth="1"/>
    <col min="3" max="3" width="17.6640625" style="142" customWidth="1"/>
    <col min="4" max="4" width="22.5546875" style="139" customWidth="1"/>
    <col min="5" max="5" width="9.5546875" style="141" customWidth="1"/>
    <col min="6" max="6" width="17.109375" style="142" customWidth="1"/>
    <col min="7" max="7" width="13.109375" style="141" customWidth="1"/>
    <col min="8" max="8" width="14.33203125" style="141" customWidth="1"/>
    <col min="9" max="9" width="10" style="141" customWidth="1"/>
    <col min="10" max="10" width="11.5546875" style="141" customWidth="1"/>
    <col min="11" max="11" width="11" style="139" customWidth="1"/>
    <col min="12" max="12" width="17.44140625" style="139" hidden="1" customWidth="1"/>
    <col min="13" max="13" width="11.6640625" style="139" customWidth="1"/>
    <col min="14" max="15" width="9.109375" style="139"/>
    <col min="16" max="16" width="8.88671875" style="139" customWidth="1"/>
    <col min="17" max="17" width="10" style="139" customWidth="1"/>
    <col min="18" max="18" width="14.33203125" style="139" customWidth="1"/>
    <col min="19" max="16384" width="9.109375" style="139"/>
  </cols>
  <sheetData>
    <row r="1" spans="1:36" ht="13.5" customHeight="1" thickBot="1" x14ac:dyDescent="0.3">
      <c r="A1" s="190" t="s">
        <v>318</v>
      </c>
      <c r="B1" s="189"/>
      <c r="C1" s="189"/>
      <c r="D1" s="189"/>
      <c r="E1" s="189"/>
      <c r="AF1" s="195" t="s">
        <v>287</v>
      </c>
      <c r="AG1" s="194"/>
      <c r="AH1" s="157"/>
      <c r="AI1" s="193" t="s">
        <v>286</v>
      </c>
      <c r="AJ1" s="192"/>
    </row>
    <row r="2" spans="1:36" ht="24" customHeight="1" thickBot="1" x14ac:dyDescent="0.3">
      <c r="A2" s="190"/>
      <c r="B2" s="189"/>
      <c r="C2" s="189"/>
      <c r="D2" s="189"/>
      <c r="E2" s="189"/>
      <c r="K2" s="228" t="s">
        <v>317</v>
      </c>
      <c r="L2" s="227"/>
      <c r="M2" s="227">
        <v>10000</v>
      </c>
      <c r="N2" s="226" t="s">
        <v>316</v>
      </c>
      <c r="AF2" s="187"/>
      <c r="AG2" s="186"/>
      <c r="AH2" s="157"/>
      <c r="AI2" s="185"/>
      <c r="AJ2" s="184"/>
    </row>
    <row r="3" spans="1:36" ht="23.25" customHeight="1" x14ac:dyDescent="0.25">
      <c r="A3" s="190"/>
      <c r="B3" s="189"/>
      <c r="C3" s="189"/>
      <c r="D3" s="189"/>
      <c r="E3" s="189"/>
      <c r="K3" s="225" t="s">
        <v>315</v>
      </c>
      <c r="L3" s="224"/>
      <c r="M3" s="224">
        <v>30</v>
      </c>
      <c r="N3" s="223" t="s">
        <v>314</v>
      </c>
      <c r="AF3" s="187"/>
      <c r="AG3" s="186"/>
      <c r="AH3" s="157"/>
      <c r="AI3" s="185"/>
      <c r="AJ3" s="184"/>
    </row>
    <row r="4" spans="1:36" ht="22.5" customHeight="1" x14ac:dyDescent="0.25">
      <c r="A4" s="190" t="str">
        <f>Identificar!A4</f>
        <v>Picke Your Driver</v>
      </c>
      <c r="B4" s="189"/>
      <c r="C4" s="189"/>
      <c r="D4" s="189"/>
      <c r="E4" s="189"/>
      <c r="AF4" s="187"/>
      <c r="AG4" s="186"/>
      <c r="AH4" s="157"/>
      <c r="AI4" s="185"/>
      <c r="AJ4" s="184"/>
    </row>
    <row r="5" spans="1:36" ht="27" thickBot="1" x14ac:dyDescent="0.3">
      <c r="A5" s="183"/>
      <c r="B5" s="182"/>
      <c r="C5" s="182"/>
      <c r="D5" s="182"/>
      <c r="E5" s="182"/>
      <c r="I5" s="139"/>
      <c r="AF5" s="178" t="s">
        <v>285</v>
      </c>
      <c r="AG5" s="177">
        <v>1</v>
      </c>
      <c r="AH5" s="157"/>
      <c r="AI5" s="178" t="s">
        <v>284</v>
      </c>
      <c r="AJ5" s="177">
        <v>1</v>
      </c>
    </row>
    <row r="6" spans="1:36" ht="27" thickBot="1" x14ac:dyDescent="0.3">
      <c r="A6" s="176" t="s">
        <v>283</v>
      </c>
      <c r="B6" s="174" t="s">
        <v>281</v>
      </c>
      <c r="C6" s="173"/>
      <c r="D6" s="172"/>
      <c r="E6" s="171" t="s">
        <v>280</v>
      </c>
      <c r="F6" s="222" t="s">
        <v>313</v>
      </c>
      <c r="G6" s="221" t="s">
        <v>312</v>
      </c>
      <c r="H6" s="220"/>
      <c r="I6" s="220"/>
      <c r="J6" s="219"/>
      <c r="K6" s="167" t="s">
        <v>311</v>
      </c>
      <c r="L6" s="168"/>
      <c r="M6" s="167" t="s">
        <v>310</v>
      </c>
      <c r="N6" s="167" t="s">
        <v>309</v>
      </c>
      <c r="AF6" s="156" t="s">
        <v>275</v>
      </c>
      <c r="AG6" s="155">
        <v>2</v>
      </c>
      <c r="AH6" s="157"/>
      <c r="AI6" s="156" t="s">
        <v>274</v>
      </c>
      <c r="AJ6" s="155">
        <v>2</v>
      </c>
    </row>
    <row r="7" spans="1:36" s="154" customFormat="1" ht="31.2" thickBot="1" x14ac:dyDescent="0.3">
      <c r="A7" s="166"/>
      <c r="B7" s="164" t="s">
        <v>271</v>
      </c>
      <c r="C7" s="164" t="s">
        <v>270</v>
      </c>
      <c r="D7" s="163" t="s">
        <v>308</v>
      </c>
      <c r="E7" s="162"/>
      <c r="F7" s="218"/>
      <c r="G7" s="217" t="s">
        <v>307</v>
      </c>
      <c r="H7" s="216" t="s">
        <v>306</v>
      </c>
      <c r="I7" s="216" t="s">
        <v>305</v>
      </c>
      <c r="J7" s="215" t="s">
        <v>304</v>
      </c>
      <c r="K7" s="158"/>
      <c r="L7" s="159" t="s">
        <v>268</v>
      </c>
      <c r="M7" s="158"/>
      <c r="N7" s="158"/>
      <c r="AF7" s="156" t="s">
        <v>267</v>
      </c>
      <c r="AG7" s="155">
        <v>3</v>
      </c>
      <c r="AH7" s="157"/>
      <c r="AI7" s="156" t="s">
        <v>266</v>
      </c>
      <c r="AJ7" s="155">
        <v>3</v>
      </c>
    </row>
    <row r="8" spans="1:36" ht="30.6" x14ac:dyDescent="0.25">
      <c r="A8" s="152" t="str">
        <f>IF(Identificar!A8&lt;&gt;"",Identificar!A8,"")</f>
        <v>R01</v>
      </c>
      <c r="B8" s="152" t="str">
        <f>IF(Identificar!D8&lt;&gt;"",Identificar!D8,"")</f>
        <v>Como resultado da ausência de desenvolvedores-chave</v>
      </c>
      <c r="C8" s="152" t="str">
        <f>IF(Identificar!E8&lt;&gt;"",Identificar!E8,"")</f>
        <v>Pode ocorrer atraso no desenvolvimento do sistema</v>
      </c>
      <c r="D8" s="152" t="str">
        <f>IF(Identificar!F8&lt;&gt;"",Identificar!F8,"")</f>
        <v>O que acarretaria atraso na entrega do aplicativo</v>
      </c>
      <c r="E8" s="152" t="str">
        <f>IF(Identificar!G8&lt;&gt;"",Identificar!G8,"")</f>
        <v>Fábio</v>
      </c>
      <c r="F8" s="208" t="s">
        <v>295</v>
      </c>
      <c r="G8" s="214" t="s">
        <v>297</v>
      </c>
      <c r="H8" s="213" t="s">
        <v>296</v>
      </c>
      <c r="I8" s="212">
        <f>IF(G8&lt;&gt;"",IF(H8&lt;&gt;"",RIGHT(G8,4)*RIGHT(H8,4),""),"")</f>
        <v>2.64</v>
      </c>
      <c r="J8" s="211" t="str">
        <f>IF(I8&lt;&gt;"",VLOOKUP(I8,'Sensibilidade ao Risco'!$E$2:$F$30,2,FALSE),"")</f>
        <v>Alta - 0,40</v>
      </c>
      <c r="K8" s="149">
        <f>IF(F8&lt;&gt;"",IF(J8&lt;&gt;"",(RIGHT(J8,3))*(RIGHT(F8,3)),""),"")</f>
        <v>8.0000000000000016E-2</v>
      </c>
      <c r="L8" s="210" t="s">
        <v>258</v>
      </c>
      <c r="M8" s="209">
        <f>ROUNDUP(Quantificar!G8/Qualificar!$M$2,2)</f>
        <v>0.43</v>
      </c>
      <c r="N8" s="209">
        <f>ROUNDUP(Quantificar!H8/Qualificar!$M$3,2)</f>
        <v>0.34</v>
      </c>
      <c r="AF8" s="144" t="s">
        <v>257</v>
      </c>
      <c r="AG8" s="143">
        <v>4</v>
      </c>
      <c r="AH8" s="145"/>
      <c r="AI8" s="144" t="s">
        <v>256</v>
      </c>
      <c r="AJ8" s="143">
        <v>4</v>
      </c>
    </row>
    <row r="9" spans="1:36" ht="41.4" thickBot="1" x14ac:dyDescent="0.3">
      <c r="A9" s="152" t="str">
        <f>IF(Identificar!A9&lt;&gt;"",Identificar!A9,"")</f>
        <v>R02</v>
      </c>
      <c r="B9" s="152" t="str">
        <f>IF(Identificar!D9&lt;&gt;"",Identificar!D9,"")</f>
        <v>Como resultado da baixa experiência da equipe com APIs de mapas e geolocalização</v>
      </c>
      <c r="C9" s="152" t="str">
        <f>IF(Identificar!E9&lt;&gt;"",Identificar!E9,"")</f>
        <v>Pode ocorrer falha na implementação do cálculo de rota e custo</v>
      </c>
      <c r="D9" s="152" t="str">
        <f>IF(Identificar!F9&lt;&gt;"",Identificar!F9,"")</f>
        <v>O que acarretaria em estimativas incorretas ou sistema ineficaz</v>
      </c>
      <c r="E9" s="152" t="str">
        <f>IF(Identificar!G9&lt;&gt;"",Identificar!G9,"")</f>
        <v>Leonardo</v>
      </c>
      <c r="F9" s="208" t="s">
        <v>292</v>
      </c>
      <c r="G9" s="207" t="s">
        <v>291</v>
      </c>
      <c r="H9" s="206" t="s">
        <v>290</v>
      </c>
      <c r="I9" s="205">
        <f>IF(G9&lt;&gt;"",IF(H9&lt;&gt;"",RIGHT(G9,4)*RIGHT(H9,4),""),"")</f>
        <v>5.04</v>
      </c>
      <c r="J9" s="204" t="str">
        <f>IF(I9&lt;&gt;"",VLOOKUP(I9,'Sensibilidade ao Risco'!$E$2:$F$30,2,FALSE),"")</f>
        <v>Muito Alta - 0,80</v>
      </c>
      <c r="K9" s="149">
        <f>IF(F9&lt;&gt;"",IF(J9&lt;&gt;"",(RIGHT(J9,3))*(RIGHT(F9,3)),""),"")</f>
        <v>0.32000000000000006</v>
      </c>
      <c r="L9" s="149"/>
      <c r="M9" s="203">
        <f>ROUNDUP(Quantificar!G9/Qualificar!$M$2,2)</f>
        <v>0.78</v>
      </c>
      <c r="N9" s="203">
        <f>ROUNDUP(Quantificar!H9/Qualificar!$M$3,2)</f>
        <v>0.67</v>
      </c>
      <c r="AF9" s="147"/>
      <c r="AG9" s="146"/>
      <c r="AH9" s="145"/>
      <c r="AI9" s="144"/>
      <c r="AJ9" s="143"/>
    </row>
    <row r="10" spans="1:36" ht="51.6" thickBot="1" x14ac:dyDescent="0.3">
      <c r="A10" s="152" t="str">
        <f>IF(Identificar!A10&lt;&gt;"",Identificar!A10,"")</f>
        <v>R03</v>
      </c>
      <c r="B10" s="152" t="str">
        <f>IF(Identificar!D10&lt;&gt;"",Identificar!D10,"")</f>
        <v>Como resultado da falta de alinhamento entre as áreas de design e desenvolvimento</v>
      </c>
      <c r="C10" s="152" t="str">
        <f>IF(Identificar!E10&lt;&gt;"",Identificar!E10,"")</f>
        <v>Pode ocorrer incompatibilidade entre as funcionalidades planejadas e implementadas</v>
      </c>
      <c r="D10" s="152" t="str">
        <f>IF(Identificar!F10&lt;&gt;"",Identificar!F10,"")</f>
        <v>O que acarretaria retrabalho e aumento no tempo de entrega</v>
      </c>
      <c r="E10" s="152" t="str">
        <f>IF(Identificar!G10&lt;&gt;"",Identificar!G10,"")</f>
        <v>Fábio</v>
      </c>
      <c r="F10" s="208" t="s">
        <v>295</v>
      </c>
      <c r="G10" s="207" t="s">
        <v>300</v>
      </c>
      <c r="H10" s="206" t="s">
        <v>299</v>
      </c>
      <c r="I10" s="205">
        <f>IF(G10&lt;&gt;"",IF(H10&lt;&gt;"",RIGHT(G10,4)*RIGHT(H10,4),""),"")</f>
        <v>2.3100000000000005</v>
      </c>
      <c r="J10" s="204" t="str">
        <f>IF(I10&lt;&gt;"",VLOOKUP(I10,'Sensibilidade ao Risco'!$E$2:$F$30,2,FALSE),"")</f>
        <v>Baixa - 0,10</v>
      </c>
      <c r="K10" s="149">
        <f>IF(F10&lt;&gt;"",IF(J10&lt;&gt;"",(RIGHT(J10,3))*(RIGHT(F10,3)),""),"")</f>
        <v>2.0000000000000004E-2</v>
      </c>
      <c r="L10" s="149"/>
      <c r="M10" s="203">
        <f>ROUNDUP(Quantificar!G10/Qualificar!$M$2,2)</f>
        <v>0.15</v>
      </c>
      <c r="N10" s="203">
        <f>ROUNDUP(Quantificar!H10/Qualificar!$M$3,2)</f>
        <v>0.14000000000000001</v>
      </c>
      <c r="AF10" s="147"/>
      <c r="AG10" s="146"/>
      <c r="AH10" s="145"/>
      <c r="AI10" s="144"/>
      <c r="AJ10" s="143"/>
    </row>
    <row r="11" spans="1:36" ht="41.4" thickBot="1" x14ac:dyDescent="0.3">
      <c r="A11" s="152" t="str">
        <f>IF(Identificar!A11&lt;&gt;"",Identificar!A11,"")</f>
        <v>R04</v>
      </c>
      <c r="B11" s="152" t="str">
        <f>IF(Identificar!D11&lt;&gt;"",Identificar!D11,"")</f>
        <v>Como resultado de falhas nos servidores de hospedagem</v>
      </c>
      <c r="C11" s="152" t="str">
        <f>IF(Identificar!E11&lt;&gt;"",Identificar!E11,"")</f>
        <v>Pode ocorrer indisponibilidade do sistema durante testes ou produção</v>
      </c>
      <c r="D11" s="152" t="str">
        <f>IF(Identificar!F11&lt;&gt;"",Identificar!F11,"")</f>
        <v>O que acarretaria perda de credibilidade do sistema</v>
      </c>
      <c r="E11" s="152" t="str">
        <f>IF(Identificar!G11&lt;&gt;"",Identificar!G11,"")</f>
        <v>Fabrício</v>
      </c>
      <c r="F11" s="208" t="s">
        <v>301</v>
      </c>
      <c r="G11" s="207" t="s">
        <v>297</v>
      </c>
      <c r="H11" s="206" t="s">
        <v>293</v>
      </c>
      <c r="I11" s="205">
        <f>IF(G11&lt;&gt;"",IF(H11&lt;&gt;"",RIGHT(G11,4)*RIGHT(H11,4),""),"")</f>
        <v>2.88</v>
      </c>
      <c r="J11" s="204" t="str">
        <f>IF(I11&lt;&gt;"",VLOOKUP(I11,'Sensibilidade ao Risco'!$E$2:$F$30,2,FALSE),"")</f>
        <v>Alta - 0,40</v>
      </c>
      <c r="K11" s="149">
        <f>IF(F11&lt;&gt;"",IF(J11&lt;&gt;"",(RIGHT(J11,3))*(RIGHT(F11,3)),""),"")</f>
        <v>2.0000000000000004E-2</v>
      </c>
      <c r="L11" s="149"/>
      <c r="M11" s="203">
        <f>ROUNDUP(Quantificar!G11/Qualificar!$M$2,2)</f>
        <v>0.15</v>
      </c>
      <c r="N11" s="203">
        <f>ROUNDUP(Quantificar!H11/Qualificar!$M$3,2)</f>
        <v>0.14000000000000001</v>
      </c>
      <c r="AF11" s="147"/>
      <c r="AG11" s="146"/>
      <c r="AH11" s="145"/>
      <c r="AI11" s="144"/>
      <c r="AJ11" s="143"/>
    </row>
    <row r="12" spans="1:36" ht="41.4" thickBot="1" x14ac:dyDescent="0.3">
      <c r="A12" s="152" t="str">
        <f>IF(Identificar!A12&lt;&gt;"",Identificar!A12,"")</f>
        <v>R05</v>
      </c>
      <c r="B12" s="152" t="str">
        <f>IF(Identificar!D12&lt;&gt;"",Identificar!D12,"")</f>
        <v>Como resultado de problemas nos dispositivos usados para testes</v>
      </c>
      <c r="C12" s="152" t="str">
        <f>IF(Identificar!E12&lt;&gt;"",Identificar!E12,"")</f>
        <v>Pode ocorrer erro na validação de funcionalidades</v>
      </c>
      <c r="D12" s="152" t="str">
        <f>IF(Identificar!F12&lt;&gt;"",Identificar!F12,"")</f>
        <v>O que acarretaria liberação de sistema com falhas</v>
      </c>
      <c r="E12" s="152" t="str">
        <f>IF(Identificar!G12&lt;&gt;"",Identificar!G12,"")</f>
        <v>Fabrício</v>
      </c>
      <c r="F12" s="208" t="s">
        <v>295</v>
      </c>
      <c r="G12" s="207" t="s">
        <v>300</v>
      </c>
      <c r="H12" s="206" t="s">
        <v>296</v>
      </c>
      <c r="I12" s="205">
        <f>IF(G12&lt;&gt;"",IF(H12&lt;&gt;"",RIGHT(G12,4)*RIGHT(H12,4),""),"")</f>
        <v>2.4200000000000004</v>
      </c>
      <c r="J12" s="204" t="str">
        <f>IF(I12&lt;&gt;"",VLOOKUP(I12,'Sensibilidade ao Risco'!$E$2:$F$30,2,FALSE),"")</f>
        <v>Moderada - 0,20</v>
      </c>
      <c r="K12" s="149">
        <f>IF(F12&lt;&gt;"",IF(J12&lt;&gt;"",(RIGHT(J12,3))*(RIGHT(F12,3)),""),"")</f>
        <v>4.0000000000000008E-2</v>
      </c>
      <c r="L12" s="149"/>
      <c r="M12" s="203">
        <f>ROUNDUP(Quantificar!G12/Qualificar!$M$2,2)</f>
        <v>0.24</v>
      </c>
      <c r="N12" s="203">
        <f>ROUNDUP(Quantificar!H12/Qualificar!$M$3,2)</f>
        <v>0.24000000000000002</v>
      </c>
      <c r="AF12" s="147"/>
      <c r="AG12" s="146"/>
      <c r="AH12" s="145"/>
      <c r="AI12" s="144"/>
      <c r="AJ12" s="143"/>
    </row>
    <row r="13" spans="1:36" ht="31.2" thickBot="1" x14ac:dyDescent="0.3">
      <c r="A13" s="152" t="str">
        <f>IF(Identificar!A13&lt;&gt;"",Identificar!A13,"")</f>
        <v>R06</v>
      </c>
      <c r="B13" s="152" t="str">
        <f>IF(Identificar!D13&lt;&gt;"",Identificar!D13,"")</f>
        <v>Como resultado de falhas não identificadas durante os testes</v>
      </c>
      <c r="C13" s="152" t="str">
        <f>IF(Identificar!E13&lt;&gt;"",Identificar!E13,"")</f>
        <v>Pode ocorrer cálculo incorreto do valor estimado</v>
      </c>
      <c r="D13" s="152" t="str">
        <f>IF(Identificar!F13&lt;&gt;"",Identificar!F13,"")</f>
        <v>O que acarretaria insatisfação e perda de confiança dos usuários</v>
      </c>
      <c r="E13" s="152" t="str">
        <f>IF(Identificar!G13&lt;&gt;"",Identificar!G13,"")</f>
        <v>Leonardo</v>
      </c>
      <c r="F13" s="208" t="s">
        <v>292</v>
      </c>
      <c r="G13" s="207" t="s">
        <v>294</v>
      </c>
      <c r="H13" s="206" t="s">
        <v>290</v>
      </c>
      <c r="I13" s="205">
        <f>IF(G13&lt;&gt;"",IF(H13&lt;&gt;"",RIGHT(G13,4)*RIGHT(H13,4),""),"")</f>
        <v>3.9199999999999995</v>
      </c>
      <c r="J13" s="204" t="str">
        <f>IF(I13&lt;&gt;"",VLOOKUP(I13,'Sensibilidade ao Risco'!$E$2:$F$30,2,FALSE),"")</f>
        <v>Muito Alta - 0,80</v>
      </c>
      <c r="K13" s="149">
        <f>IF(F13&lt;&gt;"",IF(J13&lt;&gt;"",(RIGHT(J13,3))*(RIGHT(F13,3)),""),"")</f>
        <v>0.32000000000000006</v>
      </c>
      <c r="L13" s="149"/>
      <c r="M13" s="203">
        <f>ROUNDUP(Quantificar!G13/Qualificar!$M$2,2)</f>
        <v>0.78</v>
      </c>
      <c r="N13" s="203">
        <f>ROUNDUP(Quantificar!H13/Qualificar!$M$3,2)</f>
        <v>0.34</v>
      </c>
      <c r="AF13" s="147"/>
      <c r="AG13" s="146"/>
      <c r="AH13" s="145"/>
      <c r="AI13" s="144"/>
      <c r="AJ13" s="143"/>
    </row>
    <row r="14" spans="1:36" ht="41.4" thickBot="1" x14ac:dyDescent="0.3">
      <c r="A14" s="152" t="str">
        <f>IF(Identificar!A14&lt;&gt;"",Identificar!A14,"")</f>
        <v>R07</v>
      </c>
      <c r="B14" s="152" t="str">
        <f>IF(Identificar!D14&lt;&gt;"",Identificar!D14,"")</f>
        <v>Como resultado de falha na integração com APIs externas (Google Maps, Uber API, etc.)</v>
      </c>
      <c r="C14" s="152" t="str">
        <f>IF(Identificar!E14&lt;&gt;"",Identificar!E14,"")</f>
        <v>Pode ocorrer erro na coleta de dados de distância ou valores base</v>
      </c>
      <c r="D14" s="152" t="str">
        <f>IF(Identificar!F14&lt;&gt;"",Identificar!F14,"")</f>
        <v>O que acarretaria resultados imprecisos e funcionamento parcial do sistema</v>
      </c>
      <c r="E14" s="152" t="str">
        <f>IF(Identificar!G14&lt;&gt;"",Identificar!G14,"")</f>
        <v>Daniel</v>
      </c>
      <c r="F14" s="208" t="s">
        <v>301</v>
      </c>
      <c r="G14" s="207" t="s">
        <v>300</v>
      </c>
      <c r="H14" s="206" t="s">
        <v>293</v>
      </c>
      <c r="I14" s="205">
        <f>IF(G14&lt;&gt;"",IF(H14&lt;&gt;"",RIGHT(G14,4)*RIGHT(H14,4),""),"")</f>
        <v>2.64</v>
      </c>
      <c r="J14" s="204" t="str">
        <f>IF(I14&lt;&gt;"",VLOOKUP(I14,'Sensibilidade ao Risco'!$E$2:$F$30,2,FALSE),"")</f>
        <v>Alta - 0,40</v>
      </c>
      <c r="K14" s="149">
        <f>IF(F14&lt;&gt;"",IF(J14&lt;&gt;"",(RIGHT(J14,3))*(RIGHT(F14,3)),""),"")</f>
        <v>2.0000000000000004E-2</v>
      </c>
      <c r="L14" s="149"/>
      <c r="M14" s="203">
        <f>ROUNDUP(Quantificar!G14/Qualificar!$M$2,2)</f>
        <v>0.3</v>
      </c>
      <c r="N14" s="203">
        <f>ROUNDUP(Quantificar!H14/Qualificar!$M$3,2)</f>
        <v>0.27</v>
      </c>
      <c r="AF14" s="147"/>
      <c r="AG14" s="146"/>
      <c r="AH14" s="145"/>
      <c r="AI14" s="144"/>
      <c r="AJ14" s="143"/>
    </row>
    <row r="15" spans="1:36" ht="41.4" thickBot="1" x14ac:dyDescent="0.3">
      <c r="A15" s="152" t="str">
        <f>IF(Identificar!A15&lt;&gt;"",Identificar!A15,"")</f>
        <v>R08</v>
      </c>
      <c r="B15" s="152" t="str">
        <f>IF(Identificar!D15&lt;&gt;"",Identificar!D15,"")</f>
        <v>Como resultado de instabilidade na conexão de internet durante o uso do sistema</v>
      </c>
      <c r="C15" s="152" t="str">
        <f>IF(Identificar!E15&lt;&gt;"",Identificar!E15,"")</f>
        <v>Pode ocorrer falha no carregamento de dados em tempo real</v>
      </c>
      <c r="D15" s="152" t="str">
        <f>IF(Identificar!F15&lt;&gt;"",Identificar!F15,"")</f>
        <v>O que acarretaria uma má experiência do usuário</v>
      </c>
      <c r="E15" s="152" t="str">
        <f>IF(Identificar!G15&lt;&gt;"",Identificar!G15,"")</f>
        <v>Daniel</v>
      </c>
      <c r="F15" s="208" t="s">
        <v>292</v>
      </c>
      <c r="G15" s="207" t="s">
        <v>303</v>
      </c>
      <c r="H15" s="206" t="s">
        <v>302</v>
      </c>
      <c r="I15" s="205">
        <f>IF(G15&lt;&gt;"",IF(H15&lt;&gt;"",RIGHT(G15,4)*RIGHT(H15,4),""),"")</f>
        <v>2.1524999999999999</v>
      </c>
      <c r="J15" s="204" t="str">
        <f>IF(I15&lt;&gt;"",VLOOKUP(I15,'Sensibilidade ao Risco'!$E$2:$F$30,2,FALSE),"")</f>
        <v>Muito baixa - 0,05</v>
      </c>
      <c r="K15" s="149">
        <f>IF(F15&lt;&gt;"",IF(J15&lt;&gt;"",(RIGHT(J15,3))*(RIGHT(F15,3)),""),"")</f>
        <v>2.0000000000000004E-2</v>
      </c>
      <c r="L15" s="149"/>
      <c r="M15" s="203">
        <f>ROUNDUP(Quantificar!G15/Qualificar!$M$2,2)</f>
        <v>0.15</v>
      </c>
      <c r="N15" s="203">
        <f>ROUNDUP(Quantificar!H15/Qualificar!$M$3,2)</f>
        <v>0.14000000000000001</v>
      </c>
      <c r="AF15" s="147"/>
      <c r="AG15" s="146"/>
      <c r="AH15" s="145"/>
      <c r="AI15" s="144"/>
      <c r="AJ15" s="143"/>
    </row>
    <row r="35" spans="6:8" ht="20.399999999999999" x14ac:dyDescent="0.25">
      <c r="F35" s="202" t="s">
        <v>303</v>
      </c>
      <c r="G35" s="202" t="s">
        <v>302</v>
      </c>
      <c r="H35" s="202" t="s">
        <v>301</v>
      </c>
    </row>
    <row r="36" spans="6:8" ht="20.399999999999999" x14ac:dyDescent="0.25">
      <c r="F36" s="202" t="s">
        <v>300</v>
      </c>
      <c r="G36" s="202" t="s">
        <v>299</v>
      </c>
      <c r="H36" s="202" t="s">
        <v>298</v>
      </c>
    </row>
    <row r="37" spans="6:8" ht="20.399999999999999" x14ac:dyDescent="0.25">
      <c r="F37" s="202" t="s">
        <v>297</v>
      </c>
      <c r="G37" s="202" t="s">
        <v>296</v>
      </c>
      <c r="H37" s="202" t="s">
        <v>295</v>
      </c>
    </row>
    <row r="38" spans="6:8" ht="20.399999999999999" x14ac:dyDescent="0.25">
      <c r="F38" s="202" t="s">
        <v>294</v>
      </c>
      <c r="G38" s="202" t="s">
        <v>293</v>
      </c>
      <c r="H38" s="202" t="s">
        <v>292</v>
      </c>
    </row>
    <row r="39" spans="6:8" ht="20.399999999999999" x14ac:dyDescent="0.25">
      <c r="F39" s="202" t="s">
        <v>291</v>
      </c>
      <c r="G39" s="202" t="s">
        <v>290</v>
      </c>
      <c r="H39" s="202" t="s">
        <v>289</v>
      </c>
    </row>
  </sheetData>
  <autoFilter ref="A6:K15" xr:uid="{97DB42D7-C060-44D3-8869-07E447B671DE}">
    <filterColumn colId="1" showButton="0"/>
    <filterColumn colId="2" showButton="0"/>
    <filterColumn colId="8" showButton="0"/>
  </autoFilter>
  <mergeCells count="12">
    <mergeCell ref="A6:A7"/>
    <mergeCell ref="N6:N7"/>
    <mergeCell ref="B6:D6"/>
    <mergeCell ref="E6:E7"/>
    <mergeCell ref="A1:E3"/>
    <mergeCell ref="AI1:AJ1"/>
    <mergeCell ref="F6:F7"/>
    <mergeCell ref="K6:K7"/>
    <mergeCell ref="G6:J6"/>
    <mergeCell ref="AF1:AG1"/>
    <mergeCell ref="M6:M7"/>
    <mergeCell ref="A4:E5"/>
  </mergeCells>
  <conditionalFormatting sqref="K8:K15">
    <cfRule type="cellIs" dxfId="5" priority="1" stopIfTrue="1" operator="between">
      <formula>0.005</formula>
      <formula>0.04</formula>
    </cfRule>
    <cfRule type="cellIs" dxfId="4" priority="2" stopIfTrue="1" operator="between">
      <formula>0.05</formula>
      <formula>0.17</formula>
    </cfRule>
    <cfRule type="cellIs" dxfId="3" priority="3" stopIfTrue="1" operator="between">
      <formula>0.18</formula>
      <formula>0.81</formula>
    </cfRule>
  </conditionalFormatting>
  <dataValidations count="3">
    <dataValidation type="list" allowBlank="1" showInputMessage="1" showErrorMessage="1" sqref="F8:F15 JB8:JB15 SX8:SX15 ACT8:ACT15 AMP8:AMP15 AWL8:AWL15 BGH8:BGH15 BQD8:BQD15 BZZ8:BZZ15 CJV8:CJV15 CTR8:CTR15 DDN8:DDN15 DNJ8:DNJ15 DXF8:DXF15 EHB8:EHB15 EQX8:EQX15 FAT8:FAT15 FKP8:FKP15 FUL8:FUL15 GEH8:GEH15 GOD8:GOD15 GXZ8:GXZ15 HHV8:HHV15 HRR8:HRR15 IBN8:IBN15 ILJ8:ILJ15 IVF8:IVF15 JFB8:JFB15 JOX8:JOX15 JYT8:JYT15 KIP8:KIP15 KSL8:KSL15 LCH8:LCH15 LMD8:LMD15 LVZ8:LVZ15 MFV8:MFV15 MPR8:MPR15 MZN8:MZN15 NJJ8:NJJ15 NTF8:NTF15 ODB8:ODB15 OMX8:OMX15 OWT8:OWT15 PGP8:PGP15 PQL8:PQL15 QAH8:QAH15 QKD8:QKD15 QTZ8:QTZ15 RDV8:RDV15 RNR8:RNR15 RXN8:RXN15 SHJ8:SHJ15 SRF8:SRF15 TBB8:TBB15 TKX8:TKX15 TUT8:TUT15 UEP8:UEP15 UOL8:UOL15 UYH8:UYH15 VID8:VID15 VRZ8:VRZ15 WBV8:WBV15 WLR8:WLR15 WVN8:WVN15 F65544:F65551 JB65544:JB65551 SX65544:SX65551 ACT65544:ACT65551 AMP65544:AMP65551 AWL65544:AWL65551 BGH65544:BGH65551 BQD65544:BQD65551 BZZ65544:BZZ65551 CJV65544:CJV65551 CTR65544:CTR65551 DDN65544:DDN65551 DNJ65544:DNJ65551 DXF65544:DXF65551 EHB65544:EHB65551 EQX65544:EQX65551 FAT65544:FAT65551 FKP65544:FKP65551 FUL65544:FUL65551 GEH65544:GEH65551 GOD65544:GOD65551 GXZ65544:GXZ65551 HHV65544:HHV65551 HRR65544:HRR65551 IBN65544:IBN65551 ILJ65544:ILJ65551 IVF65544:IVF65551 JFB65544:JFB65551 JOX65544:JOX65551 JYT65544:JYT65551 KIP65544:KIP65551 KSL65544:KSL65551 LCH65544:LCH65551 LMD65544:LMD65551 LVZ65544:LVZ65551 MFV65544:MFV65551 MPR65544:MPR65551 MZN65544:MZN65551 NJJ65544:NJJ65551 NTF65544:NTF65551 ODB65544:ODB65551 OMX65544:OMX65551 OWT65544:OWT65551 PGP65544:PGP65551 PQL65544:PQL65551 QAH65544:QAH65551 QKD65544:QKD65551 QTZ65544:QTZ65551 RDV65544:RDV65551 RNR65544:RNR65551 RXN65544:RXN65551 SHJ65544:SHJ65551 SRF65544:SRF65551 TBB65544:TBB65551 TKX65544:TKX65551 TUT65544:TUT65551 UEP65544:UEP65551 UOL65544:UOL65551 UYH65544:UYH65551 VID65544:VID65551 VRZ65544:VRZ65551 WBV65544:WBV65551 WLR65544:WLR65551 WVN65544:WVN65551 F131080:F131087 JB131080:JB131087 SX131080:SX131087 ACT131080:ACT131087 AMP131080:AMP131087 AWL131080:AWL131087 BGH131080:BGH131087 BQD131080:BQD131087 BZZ131080:BZZ131087 CJV131080:CJV131087 CTR131080:CTR131087 DDN131080:DDN131087 DNJ131080:DNJ131087 DXF131080:DXF131087 EHB131080:EHB131087 EQX131080:EQX131087 FAT131080:FAT131087 FKP131080:FKP131087 FUL131080:FUL131087 GEH131080:GEH131087 GOD131080:GOD131087 GXZ131080:GXZ131087 HHV131080:HHV131087 HRR131080:HRR131087 IBN131080:IBN131087 ILJ131080:ILJ131087 IVF131080:IVF131087 JFB131080:JFB131087 JOX131080:JOX131087 JYT131080:JYT131087 KIP131080:KIP131087 KSL131080:KSL131087 LCH131080:LCH131087 LMD131080:LMD131087 LVZ131080:LVZ131087 MFV131080:MFV131087 MPR131080:MPR131087 MZN131080:MZN131087 NJJ131080:NJJ131087 NTF131080:NTF131087 ODB131080:ODB131087 OMX131080:OMX131087 OWT131080:OWT131087 PGP131080:PGP131087 PQL131080:PQL131087 QAH131080:QAH131087 QKD131080:QKD131087 QTZ131080:QTZ131087 RDV131080:RDV131087 RNR131080:RNR131087 RXN131080:RXN131087 SHJ131080:SHJ131087 SRF131080:SRF131087 TBB131080:TBB131087 TKX131080:TKX131087 TUT131080:TUT131087 UEP131080:UEP131087 UOL131080:UOL131087 UYH131080:UYH131087 VID131080:VID131087 VRZ131080:VRZ131087 WBV131080:WBV131087 WLR131080:WLR131087 WVN131080:WVN131087 F196616:F196623 JB196616:JB196623 SX196616:SX196623 ACT196616:ACT196623 AMP196616:AMP196623 AWL196616:AWL196623 BGH196616:BGH196623 BQD196616:BQD196623 BZZ196616:BZZ196623 CJV196616:CJV196623 CTR196616:CTR196623 DDN196616:DDN196623 DNJ196616:DNJ196623 DXF196616:DXF196623 EHB196616:EHB196623 EQX196616:EQX196623 FAT196616:FAT196623 FKP196616:FKP196623 FUL196616:FUL196623 GEH196616:GEH196623 GOD196616:GOD196623 GXZ196616:GXZ196623 HHV196616:HHV196623 HRR196616:HRR196623 IBN196616:IBN196623 ILJ196616:ILJ196623 IVF196616:IVF196623 JFB196616:JFB196623 JOX196616:JOX196623 JYT196616:JYT196623 KIP196616:KIP196623 KSL196616:KSL196623 LCH196616:LCH196623 LMD196616:LMD196623 LVZ196616:LVZ196623 MFV196616:MFV196623 MPR196616:MPR196623 MZN196616:MZN196623 NJJ196616:NJJ196623 NTF196616:NTF196623 ODB196616:ODB196623 OMX196616:OMX196623 OWT196616:OWT196623 PGP196616:PGP196623 PQL196616:PQL196623 QAH196616:QAH196623 QKD196616:QKD196623 QTZ196616:QTZ196623 RDV196616:RDV196623 RNR196616:RNR196623 RXN196616:RXN196623 SHJ196616:SHJ196623 SRF196616:SRF196623 TBB196616:TBB196623 TKX196616:TKX196623 TUT196616:TUT196623 UEP196616:UEP196623 UOL196616:UOL196623 UYH196616:UYH196623 VID196616:VID196623 VRZ196616:VRZ196623 WBV196616:WBV196623 WLR196616:WLR196623 WVN196616:WVN196623 F262152:F262159 JB262152:JB262159 SX262152:SX262159 ACT262152:ACT262159 AMP262152:AMP262159 AWL262152:AWL262159 BGH262152:BGH262159 BQD262152:BQD262159 BZZ262152:BZZ262159 CJV262152:CJV262159 CTR262152:CTR262159 DDN262152:DDN262159 DNJ262152:DNJ262159 DXF262152:DXF262159 EHB262152:EHB262159 EQX262152:EQX262159 FAT262152:FAT262159 FKP262152:FKP262159 FUL262152:FUL262159 GEH262152:GEH262159 GOD262152:GOD262159 GXZ262152:GXZ262159 HHV262152:HHV262159 HRR262152:HRR262159 IBN262152:IBN262159 ILJ262152:ILJ262159 IVF262152:IVF262159 JFB262152:JFB262159 JOX262152:JOX262159 JYT262152:JYT262159 KIP262152:KIP262159 KSL262152:KSL262159 LCH262152:LCH262159 LMD262152:LMD262159 LVZ262152:LVZ262159 MFV262152:MFV262159 MPR262152:MPR262159 MZN262152:MZN262159 NJJ262152:NJJ262159 NTF262152:NTF262159 ODB262152:ODB262159 OMX262152:OMX262159 OWT262152:OWT262159 PGP262152:PGP262159 PQL262152:PQL262159 QAH262152:QAH262159 QKD262152:QKD262159 QTZ262152:QTZ262159 RDV262152:RDV262159 RNR262152:RNR262159 RXN262152:RXN262159 SHJ262152:SHJ262159 SRF262152:SRF262159 TBB262152:TBB262159 TKX262152:TKX262159 TUT262152:TUT262159 UEP262152:UEP262159 UOL262152:UOL262159 UYH262152:UYH262159 VID262152:VID262159 VRZ262152:VRZ262159 WBV262152:WBV262159 WLR262152:WLR262159 WVN262152:WVN262159 F327688:F327695 JB327688:JB327695 SX327688:SX327695 ACT327688:ACT327695 AMP327688:AMP327695 AWL327688:AWL327695 BGH327688:BGH327695 BQD327688:BQD327695 BZZ327688:BZZ327695 CJV327688:CJV327695 CTR327688:CTR327695 DDN327688:DDN327695 DNJ327688:DNJ327695 DXF327688:DXF327695 EHB327688:EHB327695 EQX327688:EQX327695 FAT327688:FAT327695 FKP327688:FKP327695 FUL327688:FUL327695 GEH327688:GEH327695 GOD327688:GOD327695 GXZ327688:GXZ327695 HHV327688:HHV327695 HRR327688:HRR327695 IBN327688:IBN327695 ILJ327688:ILJ327695 IVF327688:IVF327695 JFB327688:JFB327695 JOX327688:JOX327695 JYT327688:JYT327695 KIP327688:KIP327695 KSL327688:KSL327695 LCH327688:LCH327695 LMD327688:LMD327695 LVZ327688:LVZ327695 MFV327688:MFV327695 MPR327688:MPR327695 MZN327688:MZN327695 NJJ327688:NJJ327695 NTF327688:NTF327695 ODB327688:ODB327695 OMX327688:OMX327695 OWT327688:OWT327695 PGP327688:PGP327695 PQL327688:PQL327695 QAH327688:QAH327695 QKD327688:QKD327695 QTZ327688:QTZ327695 RDV327688:RDV327695 RNR327688:RNR327695 RXN327688:RXN327695 SHJ327688:SHJ327695 SRF327688:SRF327695 TBB327688:TBB327695 TKX327688:TKX327695 TUT327688:TUT327695 UEP327688:UEP327695 UOL327688:UOL327695 UYH327688:UYH327695 VID327688:VID327695 VRZ327688:VRZ327695 WBV327688:WBV327695 WLR327688:WLR327695 WVN327688:WVN327695 F393224:F393231 JB393224:JB393231 SX393224:SX393231 ACT393224:ACT393231 AMP393224:AMP393231 AWL393224:AWL393231 BGH393224:BGH393231 BQD393224:BQD393231 BZZ393224:BZZ393231 CJV393224:CJV393231 CTR393224:CTR393231 DDN393224:DDN393231 DNJ393224:DNJ393231 DXF393224:DXF393231 EHB393224:EHB393231 EQX393224:EQX393231 FAT393224:FAT393231 FKP393224:FKP393231 FUL393224:FUL393231 GEH393224:GEH393231 GOD393224:GOD393231 GXZ393224:GXZ393231 HHV393224:HHV393231 HRR393224:HRR393231 IBN393224:IBN393231 ILJ393224:ILJ393231 IVF393224:IVF393231 JFB393224:JFB393231 JOX393224:JOX393231 JYT393224:JYT393231 KIP393224:KIP393231 KSL393224:KSL393231 LCH393224:LCH393231 LMD393224:LMD393231 LVZ393224:LVZ393231 MFV393224:MFV393231 MPR393224:MPR393231 MZN393224:MZN393231 NJJ393224:NJJ393231 NTF393224:NTF393231 ODB393224:ODB393231 OMX393224:OMX393231 OWT393224:OWT393231 PGP393224:PGP393231 PQL393224:PQL393231 QAH393224:QAH393231 QKD393224:QKD393231 QTZ393224:QTZ393231 RDV393224:RDV393231 RNR393224:RNR393231 RXN393224:RXN393231 SHJ393224:SHJ393231 SRF393224:SRF393231 TBB393224:TBB393231 TKX393224:TKX393231 TUT393224:TUT393231 UEP393224:UEP393231 UOL393224:UOL393231 UYH393224:UYH393231 VID393224:VID393231 VRZ393224:VRZ393231 WBV393224:WBV393231 WLR393224:WLR393231 WVN393224:WVN393231 F458760:F458767 JB458760:JB458767 SX458760:SX458767 ACT458760:ACT458767 AMP458760:AMP458767 AWL458760:AWL458767 BGH458760:BGH458767 BQD458760:BQD458767 BZZ458760:BZZ458767 CJV458760:CJV458767 CTR458760:CTR458767 DDN458760:DDN458767 DNJ458760:DNJ458767 DXF458760:DXF458767 EHB458760:EHB458767 EQX458760:EQX458767 FAT458760:FAT458767 FKP458760:FKP458767 FUL458760:FUL458767 GEH458760:GEH458767 GOD458760:GOD458767 GXZ458760:GXZ458767 HHV458760:HHV458767 HRR458760:HRR458767 IBN458760:IBN458767 ILJ458760:ILJ458767 IVF458760:IVF458767 JFB458760:JFB458767 JOX458760:JOX458767 JYT458760:JYT458767 KIP458760:KIP458767 KSL458760:KSL458767 LCH458760:LCH458767 LMD458760:LMD458767 LVZ458760:LVZ458767 MFV458760:MFV458767 MPR458760:MPR458767 MZN458760:MZN458767 NJJ458760:NJJ458767 NTF458760:NTF458767 ODB458760:ODB458767 OMX458760:OMX458767 OWT458760:OWT458767 PGP458760:PGP458767 PQL458760:PQL458767 QAH458760:QAH458767 QKD458760:QKD458767 QTZ458760:QTZ458767 RDV458760:RDV458767 RNR458760:RNR458767 RXN458760:RXN458767 SHJ458760:SHJ458767 SRF458760:SRF458767 TBB458760:TBB458767 TKX458760:TKX458767 TUT458760:TUT458767 UEP458760:UEP458767 UOL458760:UOL458767 UYH458760:UYH458767 VID458760:VID458767 VRZ458760:VRZ458767 WBV458760:WBV458767 WLR458760:WLR458767 WVN458760:WVN458767 F524296:F524303 JB524296:JB524303 SX524296:SX524303 ACT524296:ACT524303 AMP524296:AMP524303 AWL524296:AWL524303 BGH524296:BGH524303 BQD524296:BQD524303 BZZ524296:BZZ524303 CJV524296:CJV524303 CTR524296:CTR524303 DDN524296:DDN524303 DNJ524296:DNJ524303 DXF524296:DXF524303 EHB524296:EHB524303 EQX524296:EQX524303 FAT524296:FAT524303 FKP524296:FKP524303 FUL524296:FUL524303 GEH524296:GEH524303 GOD524296:GOD524303 GXZ524296:GXZ524303 HHV524296:HHV524303 HRR524296:HRR524303 IBN524296:IBN524303 ILJ524296:ILJ524303 IVF524296:IVF524303 JFB524296:JFB524303 JOX524296:JOX524303 JYT524296:JYT524303 KIP524296:KIP524303 KSL524296:KSL524303 LCH524296:LCH524303 LMD524296:LMD524303 LVZ524296:LVZ524303 MFV524296:MFV524303 MPR524296:MPR524303 MZN524296:MZN524303 NJJ524296:NJJ524303 NTF524296:NTF524303 ODB524296:ODB524303 OMX524296:OMX524303 OWT524296:OWT524303 PGP524296:PGP524303 PQL524296:PQL524303 QAH524296:QAH524303 QKD524296:QKD524303 QTZ524296:QTZ524303 RDV524296:RDV524303 RNR524296:RNR524303 RXN524296:RXN524303 SHJ524296:SHJ524303 SRF524296:SRF524303 TBB524296:TBB524303 TKX524296:TKX524303 TUT524296:TUT524303 UEP524296:UEP524303 UOL524296:UOL524303 UYH524296:UYH524303 VID524296:VID524303 VRZ524296:VRZ524303 WBV524296:WBV524303 WLR524296:WLR524303 WVN524296:WVN524303 F589832:F589839 JB589832:JB589839 SX589832:SX589839 ACT589832:ACT589839 AMP589832:AMP589839 AWL589832:AWL589839 BGH589832:BGH589839 BQD589832:BQD589839 BZZ589832:BZZ589839 CJV589832:CJV589839 CTR589832:CTR589839 DDN589832:DDN589839 DNJ589832:DNJ589839 DXF589832:DXF589839 EHB589832:EHB589839 EQX589832:EQX589839 FAT589832:FAT589839 FKP589832:FKP589839 FUL589832:FUL589839 GEH589832:GEH589839 GOD589832:GOD589839 GXZ589832:GXZ589839 HHV589832:HHV589839 HRR589832:HRR589839 IBN589832:IBN589839 ILJ589832:ILJ589839 IVF589832:IVF589839 JFB589832:JFB589839 JOX589832:JOX589839 JYT589832:JYT589839 KIP589832:KIP589839 KSL589832:KSL589839 LCH589832:LCH589839 LMD589832:LMD589839 LVZ589832:LVZ589839 MFV589832:MFV589839 MPR589832:MPR589839 MZN589832:MZN589839 NJJ589832:NJJ589839 NTF589832:NTF589839 ODB589832:ODB589839 OMX589832:OMX589839 OWT589832:OWT589839 PGP589832:PGP589839 PQL589832:PQL589839 QAH589832:QAH589839 QKD589832:QKD589839 QTZ589832:QTZ589839 RDV589832:RDV589839 RNR589832:RNR589839 RXN589832:RXN589839 SHJ589832:SHJ589839 SRF589832:SRF589839 TBB589832:TBB589839 TKX589832:TKX589839 TUT589832:TUT589839 UEP589832:UEP589839 UOL589832:UOL589839 UYH589832:UYH589839 VID589832:VID589839 VRZ589832:VRZ589839 WBV589832:WBV589839 WLR589832:WLR589839 WVN589832:WVN589839 F655368:F655375 JB655368:JB655375 SX655368:SX655375 ACT655368:ACT655375 AMP655368:AMP655375 AWL655368:AWL655375 BGH655368:BGH655375 BQD655368:BQD655375 BZZ655368:BZZ655375 CJV655368:CJV655375 CTR655368:CTR655375 DDN655368:DDN655375 DNJ655368:DNJ655375 DXF655368:DXF655375 EHB655368:EHB655375 EQX655368:EQX655375 FAT655368:FAT655375 FKP655368:FKP655375 FUL655368:FUL655375 GEH655368:GEH655375 GOD655368:GOD655375 GXZ655368:GXZ655375 HHV655368:HHV655375 HRR655368:HRR655375 IBN655368:IBN655375 ILJ655368:ILJ655375 IVF655368:IVF655375 JFB655368:JFB655375 JOX655368:JOX655375 JYT655368:JYT655375 KIP655368:KIP655375 KSL655368:KSL655375 LCH655368:LCH655375 LMD655368:LMD655375 LVZ655368:LVZ655375 MFV655368:MFV655375 MPR655368:MPR655375 MZN655368:MZN655375 NJJ655368:NJJ655375 NTF655368:NTF655375 ODB655368:ODB655375 OMX655368:OMX655375 OWT655368:OWT655375 PGP655368:PGP655375 PQL655368:PQL655375 QAH655368:QAH655375 QKD655368:QKD655375 QTZ655368:QTZ655375 RDV655368:RDV655375 RNR655368:RNR655375 RXN655368:RXN655375 SHJ655368:SHJ655375 SRF655368:SRF655375 TBB655368:TBB655375 TKX655368:TKX655375 TUT655368:TUT655375 UEP655368:UEP655375 UOL655368:UOL655375 UYH655368:UYH655375 VID655368:VID655375 VRZ655368:VRZ655375 WBV655368:WBV655375 WLR655368:WLR655375 WVN655368:WVN655375 F720904:F720911 JB720904:JB720911 SX720904:SX720911 ACT720904:ACT720911 AMP720904:AMP720911 AWL720904:AWL720911 BGH720904:BGH720911 BQD720904:BQD720911 BZZ720904:BZZ720911 CJV720904:CJV720911 CTR720904:CTR720911 DDN720904:DDN720911 DNJ720904:DNJ720911 DXF720904:DXF720911 EHB720904:EHB720911 EQX720904:EQX720911 FAT720904:FAT720911 FKP720904:FKP720911 FUL720904:FUL720911 GEH720904:GEH720911 GOD720904:GOD720911 GXZ720904:GXZ720911 HHV720904:HHV720911 HRR720904:HRR720911 IBN720904:IBN720911 ILJ720904:ILJ720911 IVF720904:IVF720911 JFB720904:JFB720911 JOX720904:JOX720911 JYT720904:JYT720911 KIP720904:KIP720911 KSL720904:KSL720911 LCH720904:LCH720911 LMD720904:LMD720911 LVZ720904:LVZ720911 MFV720904:MFV720911 MPR720904:MPR720911 MZN720904:MZN720911 NJJ720904:NJJ720911 NTF720904:NTF720911 ODB720904:ODB720911 OMX720904:OMX720911 OWT720904:OWT720911 PGP720904:PGP720911 PQL720904:PQL720911 QAH720904:QAH720911 QKD720904:QKD720911 QTZ720904:QTZ720911 RDV720904:RDV720911 RNR720904:RNR720911 RXN720904:RXN720911 SHJ720904:SHJ720911 SRF720904:SRF720911 TBB720904:TBB720911 TKX720904:TKX720911 TUT720904:TUT720911 UEP720904:UEP720911 UOL720904:UOL720911 UYH720904:UYH720911 VID720904:VID720911 VRZ720904:VRZ720911 WBV720904:WBV720911 WLR720904:WLR720911 WVN720904:WVN720911 F786440:F786447 JB786440:JB786447 SX786440:SX786447 ACT786440:ACT786447 AMP786440:AMP786447 AWL786440:AWL786447 BGH786440:BGH786447 BQD786440:BQD786447 BZZ786440:BZZ786447 CJV786440:CJV786447 CTR786440:CTR786447 DDN786440:DDN786447 DNJ786440:DNJ786447 DXF786440:DXF786447 EHB786440:EHB786447 EQX786440:EQX786447 FAT786440:FAT786447 FKP786440:FKP786447 FUL786440:FUL786447 GEH786440:GEH786447 GOD786440:GOD786447 GXZ786440:GXZ786447 HHV786440:HHV786447 HRR786440:HRR786447 IBN786440:IBN786447 ILJ786440:ILJ786447 IVF786440:IVF786447 JFB786440:JFB786447 JOX786440:JOX786447 JYT786440:JYT786447 KIP786440:KIP786447 KSL786440:KSL786447 LCH786440:LCH786447 LMD786440:LMD786447 LVZ786440:LVZ786447 MFV786440:MFV786447 MPR786440:MPR786447 MZN786440:MZN786447 NJJ786440:NJJ786447 NTF786440:NTF786447 ODB786440:ODB786447 OMX786440:OMX786447 OWT786440:OWT786447 PGP786440:PGP786447 PQL786440:PQL786447 QAH786440:QAH786447 QKD786440:QKD786447 QTZ786440:QTZ786447 RDV786440:RDV786447 RNR786440:RNR786447 RXN786440:RXN786447 SHJ786440:SHJ786447 SRF786440:SRF786447 TBB786440:TBB786447 TKX786440:TKX786447 TUT786440:TUT786447 UEP786440:UEP786447 UOL786440:UOL786447 UYH786440:UYH786447 VID786440:VID786447 VRZ786440:VRZ786447 WBV786440:WBV786447 WLR786440:WLR786447 WVN786440:WVN786447 F851976:F851983 JB851976:JB851983 SX851976:SX851983 ACT851976:ACT851983 AMP851976:AMP851983 AWL851976:AWL851983 BGH851976:BGH851983 BQD851976:BQD851983 BZZ851976:BZZ851983 CJV851976:CJV851983 CTR851976:CTR851983 DDN851976:DDN851983 DNJ851976:DNJ851983 DXF851976:DXF851983 EHB851976:EHB851983 EQX851976:EQX851983 FAT851976:FAT851983 FKP851976:FKP851983 FUL851976:FUL851983 GEH851976:GEH851983 GOD851976:GOD851983 GXZ851976:GXZ851983 HHV851976:HHV851983 HRR851976:HRR851983 IBN851976:IBN851983 ILJ851976:ILJ851983 IVF851976:IVF851983 JFB851976:JFB851983 JOX851976:JOX851983 JYT851976:JYT851983 KIP851976:KIP851983 KSL851976:KSL851983 LCH851976:LCH851983 LMD851976:LMD851983 LVZ851976:LVZ851983 MFV851976:MFV851983 MPR851976:MPR851983 MZN851976:MZN851983 NJJ851976:NJJ851983 NTF851976:NTF851983 ODB851976:ODB851983 OMX851976:OMX851983 OWT851976:OWT851983 PGP851976:PGP851983 PQL851976:PQL851983 QAH851976:QAH851983 QKD851976:QKD851983 QTZ851976:QTZ851983 RDV851976:RDV851983 RNR851976:RNR851983 RXN851976:RXN851983 SHJ851976:SHJ851983 SRF851976:SRF851983 TBB851976:TBB851983 TKX851976:TKX851983 TUT851976:TUT851983 UEP851976:UEP851983 UOL851976:UOL851983 UYH851976:UYH851983 VID851976:VID851983 VRZ851976:VRZ851983 WBV851976:WBV851983 WLR851976:WLR851983 WVN851976:WVN851983 F917512:F917519 JB917512:JB917519 SX917512:SX917519 ACT917512:ACT917519 AMP917512:AMP917519 AWL917512:AWL917519 BGH917512:BGH917519 BQD917512:BQD917519 BZZ917512:BZZ917519 CJV917512:CJV917519 CTR917512:CTR917519 DDN917512:DDN917519 DNJ917512:DNJ917519 DXF917512:DXF917519 EHB917512:EHB917519 EQX917512:EQX917519 FAT917512:FAT917519 FKP917512:FKP917519 FUL917512:FUL917519 GEH917512:GEH917519 GOD917512:GOD917519 GXZ917512:GXZ917519 HHV917512:HHV917519 HRR917512:HRR917519 IBN917512:IBN917519 ILJ917512:ILJ917519 IVF917512:IVF917519 JFB917512:JFB917519 JOX917512:JOX917519 JYT917512:JYT917519 KIP917512:KIP917519 KSL917512:KSL917519 LCH917512:LCH917519 LMD917512:LMD917519 LVZ917512:LVZ917519 MFV917512:MFV917519 MPR917512:MPR917519 MZN917512:MZN917519 NJJ917512:NJJ917519 NTF917512:NTF917519 ODB917512:ODB917519 OMX917512:OMX917519 OWT917512:OWT917519 PGP917512:PGP917519 PQL917512:PQL917519 QAH917512:QAH917519 QKD917512:QKD917519 QTZ917512:QTZ917519 RDV917512:RDV917519 RNR917512:RNR917519 RXN917512:RXN917519 SHJ917512:SHJ917519 SRF917512:SRF917519 TBB917512:TBB917519 TKX917512:TKX917519 TUT917512:TUT917519 UEP917512:UEP917519 UOL917512:UOL917519 UYH917512:UYH917519 VID917512:VID917519 VRZ917512:VRZ917519 WBV917512:WBV917519 WLR917512:WLR917519 WVN917512:WVN917519 F983048:F983055 JB983048:JB983055 SX983048:SX983055 ACT983048:ACT983055 AMP983048:AMP983055 AWL983048:AWL983055 BGH983048:BGH983055 BQD983048:BQD983055 BZZ983048:BZZ983055 CJV983048:CJV983055 CTR983048:CTR983055 DDN983048:DDN983055 DNJ983048:DNJ983055 DXF983048:DXF983055 EHB983048:EHB983055 EQX983048:EQX983055 FAT983048:FAT983055 FKP983048:FKP983055 FUL983048:FUL983055 GEH983048:GEH983055 GOD983048:GOD983055 GXZ983048:GXZ983055 HHV983048:HHV983055 HRR983048:HRR983055 IBN983048:IBN983055 ILJ983048:ILJ983055 IVF983048:IVF983055 JFB983048:JFB983055 JOX983048:JOX983055 JYT983048:JYT983055 KIP983048:KIP983055 KSL983048:KSL983055 LCH983048:LCH983055 LMD983048:LMD983055 LVZ983048:LVZ983055 MFV983048:MFV983055 MPR983048:MPR983055 MZN983048:MZN983055 NJJ983048:NJJ983055 NTF983048:NTF983055 ODB983048:ODB983055 OMX983048:OMX983055 OWT983048:OWT983055 PGP983048:PGP983055 PQL983048:PQL983055 QAH983048:QAH983055 QKD983048:QKD983055 QTZ983048:QTZ983055 RDV983048:RDV983055 RNR983048:RNR983055 RXN983048:RXN983055 SHJ983048:SHJ983055 SRF983048:SRF983055 TBB983048:TBB983055 TKX983048:TKX983055 TUT983048:TUT983055 UEP983048:UEP983055 UOL983048:UOL983055 UYH983048:UYH983055 VID983048:VID983055 VRZ983048:VRZ983055 WBV983048:WBV983055 WLR983048:WLR983055 WVN983048:WVN983055" xr:uid="{6C539E1F-5BCD-44E3-8F22-6C5103BC0960}">
      <formula1>$H$35:$H$39</formula1>
    </dataValidation>
    <dataValidation type="list" allowBlank="1" showInputMessage="1" showErrorMessage="1" sqref="G8:G15 JC8:JC15 SY8:SY15 ACU8:ACU15 AMQ8:AMQ15 AWM8:AWM15 BGI8:BGI15 BQE8:BQE15 CAA8:CAA15 CJW8:CJW15 CTS8:CTS15 DDO8:DDO15 DNK8:DNK15 DXG8:DXG15 EHC8:EHC15 EQY8:EQY15 FAU8:FAU15 FKQ8:FKQ15 FUM8:FUM15 GEI8:GEI15 GOE8:GOE15 GYA8:GYA15 HHW8:HHW15 HRS8:HRS15 IBO8:IBO15 ILK8:ILK15 IVG8:IVG15 JFC8:JFC15 JOY8:JOY15 JYU8:JYU15 KIQ8:KIQ15 KSM8:KSM15 LCI8:LCI15 LME8:LME15 LWA8:LWA15 MFW8:MFW15 MPS8:MPS15 MZO8:MZO15 NJK8:NJK15 NTG8:NTG15 ODC8:ODC15 OMY8:OMY15 OWU8:OWU15 PGQ8:PGQ15 PQM8:PQM15 QAI8:QAI15 QKE8:QKE15 QUA8:QUA15 RDW8:RDW15 RNS8:RNS15 RXO8:RXO15 SHK8:SHK15 SRG8:SRG15 TBC8:TBC15 TKY8:TKY15 TUU8:TUU15 UEQ8:UEQ15 UOM8:UOM15 UYI8:UYI15 VIE8:VIE15 VSA8:VSA15 WBW8:WBW15 WLS8:WLS15 WVO8:WVO15 G65544:G65551 JC65544:JC65551 SY65544:SY65551 ACU65544:ACU65551 AMQ65544:AMQ65551 AWM65544:AWM65551 BGI65544:BGI65551 BQE65544:BQE65551 CAA65544:CAA65551 CJW65544:CJW65551 CTS65544:CTS65551 DDO65544:DDO65551 DNK65544:DNK65551 DXG65544:DXG65551 EHC65544:EHC65551 EQY65544:EQY65551 FAU65544:FAU65551 FKQ65544:FKQ65551 FUM65544:FUM65551 GEI65544:GEI65551 GOE65544:GOE65551 GYA65544:GYA65551 HHW65544:HHW65551 HRS65544:HRS65551 IBO65544:IBO65551 ILK65544:ILK65551 IVG65544:IVG65551 JFC65544:JFC65551 JOY65544:JOY65551 JYU65544:JYU65551 KIQ65544:KIQ65551 KSM65544:KSM65551 LCI65544:LCI65551 LME65544:LME65551 LWA65544:LWA65551 MFW65544:MFW65551 MPS65544:MPS65551 MZO65544:MZO65551 NJK65544:NJK65551 NTG65544:NTG65551 ODC65544:ODC65551 OMY65544:OMY65551 OWU65544:OWU65551 PGQ65544:PGQ65551 PQM65544:PQM65551 QAI65544:QAI65551 QKE65544:QKE65551 QUA65544:QUA65551 RDW65544:RDW65551 RNS65544:RNS65551 RXO65544:RXO65551 SHK65544:SHK65551 SRG65544:SRG65551 TBC65544:TBC65551 TKY65544:TKY65551 TUU65544:TUU65551 UEQ65544:UEQ65551 UOM65544:UOM65551 UYI65544:UYI65551 VIE65544:VIE65551 VSA65544:VSA65551 WBW65544:WBW65551 WLS65544:WLS65551 WVO65544:WVO65551 G131080:G131087 JC131080:JC131087 SY131080:SY131087 ACU131080:ACU131087 AMQ131080:AMQ131087 AWM131080:AWM131087 BGI131080:BGI131087 BQE131080:BQE131087 CAA131080:CAA131087 CJW131080:CJW131087 CTS131080:CTS131087 DDO131080:DDO131087 DNK131080:DNK131087 DXG131080:DXG131087 EHC131080:EHC131087 EQY131080:EQY131087 FAU131080:FAU131087 FKQ131080:FKQ131087 FUM131080:FUM131087 GEI131080:GEI131087 GOE131080:GOE131087 GYA131080:GYA131087 HHW131080:HHW131087 HRS131080:HRS131087 IBO131080:IBO131087 ILK131080:ILK131087 IVG131080:IVG131087 JFC131080:JFC131087 JOY131080:JOY131087 JYU131080:JYU131087 KIQ131080:KIQ131087 KSM131080:KSM131087 LCI131080:LCI131087 LME131080:LME131087 LWA131080:LWA131087 MFW131080:MFW131087 MPS131080:MPS131087 MZO131080:MZO131087 NJK131080:NJK131087 NTG131080:NTG131087 ODC131080:ODC131087 OMY131080:OMY131087 OWU131080:OWU131087 PGQ131080:PGQ131087 PQM131080:PQM131087 QAI131080:QAI131087 QKE131080:QKE131087 QUA131080:QUA131087 RDW131080:RDW131087 RNS131080:RNS131087 RXO131080:RXO131087 SHK131080:SHK131087 SRG131080:SRG131087 TBC131080:TBC131087 TKY131080:TKY131087 TUU131080:TUU131087 UEQ131080:UEQ131087 UOM131080:UOM131087 UYI131080:UYI131087 VIE131080:VIE131087 VSA131080:VSA131087 WBW131080:WBW131087 WLS131080:WLS131087 WVO131080:WVO131087 G196616:G196623 JC196616:JC196623 SY196616:SY196623 ACU196616:ACU196623 AMQ196616:AMQ196623 AWM196616:AWM196623 BGI196616:BGI196623 BQE196616:BQE196623 CAA196616:CAA196623 CJW196616:CJW196623 CTS196616:CTS196623 DDO196616:DDO196623 DNK196616:DNK196623 DXG196616:DXG196623 EHC196616:EHC196623 EQY196616:EQY196623 FAU196616:FAU196623 FKQ196616:FKQ196623 FUM196616:FUM196623 GEI196616:GEI196623 GOE196616:GOE196623 GYA196616:GYA196623 HHW196616:HHW196623 HRS196616:HRS196623 IBO196616:IBO196623 ILK196616:ILK196623 IVG196616:IVG196623 JFC196616:JFC196623 JOY196616:JOY196623 JYU196616:JYU196623 KIQ196616:KIQ196623 KSM196616:KSM196623 LCI196616:LCI196623 LME196616:LME196623 LWA196616:LWA196623 MFW196616:MFW196623 MPS196616:MPS196623 MZO196616:MZO196623 NJK196616:NJK196623 NTG196616:NTG196623 ODC196616:ODC196623 OMY196616:OMY196623 OWU196616:OWU196623 PGQ196616:PGQ196623 PQM196616:PQM196623 QAI196616:QAI196623 QKE196616:QKE196623 QUA196616:QUA196623 RDW196616:RDW196623 RNS196616:RNS196623 RXO196616:RXO196623 SHK196616:SHK196623 SRG196616:SRG196623 TBC196616:TBC196623 TKY196616:TKY196623 TUU196616:TUU196623 UEQ196616:UEQ196623 UOM196616:UOM196623 UYI196616:UYI196623 VIE196616:VIE196623 VSA196616:VSA196623 WBW196616:WBW196623 WLS196616:WLS196623 WVO196616:WVO196623 G262152:G262159 JC262152:JC262159 SY262152:SY262159 ACU262152:ACU262159 AMQ262152:AMQ262159 AWM262152:AWM262159 BGI262152:BGI262159 BQE262152:BQE262159 CAA262152:CAA262159 CJW262152:CJW262159 CTS262152:CTS262159 DDO262152:DDO262159 DNK262152:DNK262159 DXG262152:DXG262159 EHC262152:EHC262159 EQY262152:EQY262159 FAU262152:FAU262159 FKQ262152:FKQ262159 FUM262152:FUM262159 GEI262152:GEI262159 GOE262152:GOE262159 GYA262152:GYA262159 HHW262152:HHW262159 HRS262152:HRS262159 IBO262152:IBO262159 ILK262152:ILK262159 IVG262152:IVG262159 JFC262152:JFC262159 JOY262152:JOY262159 JYU262152:JYU262159 KIQ262152:KIQ262159 KSM262152:KSM262159 LCI262152:LCI262159 LME262152:LME262159 LWA262152:LWA262159 MFW262152:MFW262159 MPS262152:MPS262159 MZO262152:MZO262159 NJK262152:NJK262159 NTG262152:NTG262159 ODC262152:ODC262159 OMY262152:OMY262159 OWU262152:OWU262159 PGQ262152:PGQ262159 PQM262152:PQM262159 QAI262152:QAI262159 QKE262152:QKE262159 QUA262152:QUA262159 RDW262152:RDW262159 RNS262152:RNS262159 RXO262152:RXO262159 SHK262152:SHK262159 SRG262152:SRG262159 TBC262152:TBC262159 TKY262152:TKY262159 TUU262152:TUU262159 UEQ262152:UEQ262159 UOM262152:UOM262159 UYI262152:UYI262159 VIE262152:VIE262159 VSA262152:VSA262159 WBW262152:WBW262159 WLS262152:WLS262159 WVO262152:WVO262159 G327688:G327695 JC327688:JC327695 SY327688:SY327695 ACU327688:ACU327695 AMQ327688:AMQ327695 AWM327688:AWM327695 BGI327688:BGI327695 BQE327688:BQE327695 CAA327688:CAA327695 CJW327688:CJW327695 CTS327688:CTS327695 DDO327688:DDO327695 DNK327688:DNK327695 DXG327688:DXG327695 EHC327688:EHC327695 EQY327688:EQY327695 FAU327688:FAU327695 FKQ327688:FKQ327695 FUM327688:FUM327695 GEI327688:GEI327695 GOE327688:GOE327695 GYA327688:GYA327695 HHW327688:HHW327695 HRS327688:HRS327695 IBO327688:IBO327695 ILK327688:ILK327695 IVG327688:IVG327695 JFC327688:JFC327695 JOY327688:JOY327695 JYU327688:JYU327695 KIQ327688:KIQ327695 KSM327688:KSM327695 LCI327688:LCI327695 LME327688:LME327695 LWA327688:LWA327695 MFW327688:MFW327695 MPS327688:MPS327695 MZO327688:MZO327695 NJK327688:NJK327695 NTG327688:NTG327695 ODC327688:ODC327695 OMY327688:OMY327695 OWU327688:OWU327695 PGQ327688:PGQ327695 PQM327688:PQM327695 QAI327688:QAI327695 QKE327688:QKE327695 QUA327688:QUA327695 RDW327688:RDW327695 RNS327688:RNS327695 RXO327688:RXO327695 SHK327688:SHK327695 SRG327688:SRG327695 TBC327688:TBC327695 TKY327688:TKY327695 TUU327688:TUU327695 UEQ327688:UEQ327695 UOM327688:UOM327695 UYI327688:UYI327695 VIE327688:VIE327695 VSA327688:VSA327695 WBW327688:WBW327695 WLS327688:WLS327695 WVO327688:WVO327695 G393224:G393231 JC393224:JC393231 SY393224:SY393231 ACU393224:ACU393231 AMQ393224:AMQ393231 AWM393224:AWM393231 BGI393224:BGI393231 BQE393224:BQE393231 CAA393224:CAA393231 CJW393224:CJW393231 CTS393224:CTS393231 DDO393224:DDO393231 DNK393224:DNK393231 DXG393224:DXG393231 EHC393224:EHC393231 EQY393224:EQY393231 FAU393224:FAU393231 FKQ393224:FKQ393231 FUM393224:FUM393231 GEI393224:GEI393231 GOE393224:GOE393231 GYA393224:GYA393231 HHW393224:HHW393231 HRS393224:HRS393231 IBO393224:IBO393231 ILK393224:ILK393231 IVG393224:IVG393231 JFC393224:JFC393231 JOY393224:JOY393231 JYU393224:JYU393231 KIQ393224:KIQ393231 KSM393224:KSM393231 LCI393224:LCI393231 LME393224:LME393231 LWA393224:LWA393231 MFW393224:MFW393231 MPS393224:MPS393231 MZO393224:MZO393231 NJK393224:NJK393231 NTG393224:NTG393231 ODC393224:ODC393231 OMY393224:OMY393231 OWU393224:OWU393231 PGQ393224:PGQ393231 PQM393224:PQM393231 QAI393224:QAI393231 QKE393224:QKE393231 QUA393224:QUA393231 RDW393224:RDW393231 RNS393224:RNS393231 RXO393224:RXO393231 SHK393224:SHK393231 SRG393224:SRG393231 TBC393224:TBC393231 TKY393224:TKY393231 TUU393224:TUU393231 UEQ393224:UEQ393231 UOM393224:UOM393231 UYI393224:UYI393231 VIE393224:VIE393231 VSA393224:VSA393231 WBW393224:WBW393231 WLS393224:WLS393231 WVO393224:WVO393231 G458760:G458767 JC458760:JC458767 SY458760:SY458767 ACU458760:ACU458767 AMQ458760:AMQ458767 AWM458760:AWM458767 BGI458760:BGI458767 BQE458760:BQE458767 CAA458760:CAA458767 CJW458760:CJW458767 CTS458760:CTS458767 DDO458760:DDO458767 DNK458760:DNK458767 DXG458760:DXG458767 EHC458760:EHC458767 EQY458760:EQY458767 FAU458760:FAU458767 FKQ458760:FKQ458767 FUM458760:FUM458767 GEI458760:GEI458767 GOE458760:GOE458767 GYA458760:GYA458767 HHW458760:HHW458767 HRS458760:HRS458767 IBO458760:IBO458767 ILK458760:ILK458767 IVG458760:IVG458767 JFC458760:JFC458767 JOY458760:JOY458767 JYU458760:JYU458767 KIQ458760:KIQ458767 KSM458760:KSM458767 LCI458760:LCI458767 LME458760:LME458767 LWA458760:LWA458767 MFW458760:MFW458767 MPS458760:MPS458767 MZO458760:MZO458767 NJK458760:NJK458767 NTG458760:NTG458767 ODC458760:ODC458767 OMY458760:OMY458767 OWU458760:OWU458767 PGQ458760:PGQ458767 PQM458760:PQM458767 QAI458760:QAI458767 QKE458760:QKE458767 QUA458760:QUA458767 RDW458760:RDW458767 RNS458760:RNS458767 RXO458760:RXO458767 SHK458760:SHK458767 SRG458760:SRG458767 TBC458760:TBC458767 TKY458760:TKY458767 TUU458760:TUU458767 UEQ458760:UEQ458767 UOM458760:UOM458767 UYI458760:UYI458767 VIE458760:VIE458767 VSA458760:VSA458767 WBW458760:WBW458767 WLS458760:WLS458767 WVO458760:WVO458767 G524296:G524303 JC524296:JC524303 SY524296:SY524303 ACU524296:ACU524303 AMQ524296:AMQ524303 AWM524296:AWM524303 BGI524296:BGI524303 BQE524296:BQE524303 CAA524296:CAA524303 CJW524296:CJW524303 CTS524296:CTS524303 DDO524296:DDO524303 DNK524296:DNK524303 DXG524296:DXG524303 EHC524296:EHC524303 EQY524296:EQY524303 FAU524296:FAU524303 FKQ524296:FKQ524303 FUM524296:FUM524303 GEI524296:GEI524303 GOE524296:GOE524303 GYA524296:GYA524303 HHW524296:HHW524303 HRS524296:HRS524303 IBO524296:IBO524303 ILK524296:ILK524303 IVG524296:IVG524303 JFC524296:JFC524303 JOY524296:JOY524303 JYU524296:JYU524303 KIQ524296:KIQ524303 KSM524296:KSM524303 LCI524296:LCI524303 LME524296:LME524303 LWA524296:LWA524303 MFW524296:MFW524303 MPS524296:MPS524303 MZO524296:MZO524303 NJK524296:NJK524303 NTG524296:NTG524303 ODC524296:ODC524303 OMY524296:OMY524303 OWU524296:OWU524303 PGQ524296:PGQ524303 PQM524296:PQM524303 QAI524296:QAI524303 QKE524296:QKE524303 QUA524296:QUA524303 RDW524296:RDW524303 RNS524296:RNS524303 RXO524296:RXO524303 SHK524296:SHK524303 SRG524296:SRG524303 TBC524296:TBC524303 TKY524296:TKY524303 TUU524296:TUU524303 UEQ524296:UEQ524303 UOM524296:UOM524303 UYI524296:UYI524303 VIE524296:VIE524303 VSA524296:VSA524303 WBW524296:WBW524303 WLS524296:WLS524303 WVO524296:WVO524303 G589832:G589839 JC589832:JC589839 SY589832:SY589839 ACU589832:ACU589839 AMQ589832:AMQ589839 AWM589832:AWM589839 BGI589832:BGI589839 BQE589832:BQE589839 CAA589832:CAA589839 CJW589832:CJW589839 CTS589832:CTS589839 DDO589832:DDO589839 DNK589832:DNK589839 DXG589832:DXG589839 EHC589832:EHC589839 EQY589832:EQY589839 FAU589832:FAU589839 FKQ589832:FKQ589839 FUM589832:FUM589839 GEI589832:GEI589839 GOE589832:GOE589839 GYA589832:GYA589839 HHW589832:HHW589839 HRS589832:HRS589839 IBO589832:IBO589839 ILK589832:ILK589839 IVG589832:IVG589839 JFC589832:JFC589839 JOY589832:JOY589839 JYU589832:JYU589839 KIQ589832:KIQ589839 KSM589832:KSM589839 LCI589832:LCI589839 LME589832:LME589839 LWA589832:LWA589839 MFW589832:MFW589839 MPS589832:MPS589839 MZO589832:MZO589839 NJK589832:NJK589839 NTG589832:NTG589839 ODC589832:ODC589839 OMY589832:OMY589839 OWU589832:OWU589839 PGQ589832:PGQ589839 PQM589832:PQM589839 QAI589832:QAI589839 QKE589832:QKE589839 QUA589832:QUA589839 RDW589832:RDW589839 RNS589832:RNS589839 RXO589832:RXO589839 SHK589832:SHK589839 SRG589832:SRG589839 TBC589832:TBC589839 TKY589832:TKY589839 TUU589832:TUU589839 UEQ589832:UEQ589839 UOM589832:UOM589839 UYI589832:UYI589839 VIE589832:VIE589839 VSA589832:VSA589839 WBW589832:WBW589839 WLS589832:WLS589839 WVO589832:WVO589839 G655368:G655375 JC655368:JC655375 SY655368:SY655375 ACU655368:ACU655375 AMQ655368:AMQ655375 AWM655368:AWM655375 BGI655368:BGI655375 BQE655368:BQE655375 CAA655368:CAA655375 CJW655368:CJW655375 CTS655368:CTS655375 DDO655368:DDO655375 DNK655368:DNK655375 DXG655368:DXG655375 EHC655368:EHC655375 EQY655368:EQY655375 FAU655368:FAU655375 FKQ655368:FKQ655375 FUM655368:FUM655375 GEI655368:GEI655375 GOE655368:GOE655375 GYA655368:GYA655375 HHW655368:HHW655375 HRS655368:HRS655375 IBO655368:IBO655375 ILK655368:ILK655375 IVG655368:IVG655375 JFC655368:JFC655375 JOY655368:JOY655375 JYU655368:JYU655375 KIQ655368:KIQ655375 KSM655368:KSM655375 LCI655368:LCI655375 LME655368:LME655375 LWA655368:LWA655375 MFW655368:MFW655375 MPS655368:MPS655375 MZO655368:MZO655375 NJK655368:NJK655375 NTG655368:NTG655375 ODC655368:ODC655375 OMY655368:OMY655375 OWU655368:OWU655375 PGQ655368:PGQ655375 PQM655368:PQM655375 QAI655368:QAI655375 QKE655368:QKE655375 QUA655368:QUA655375 RDW655368:RDW655375 RNS655368:RNS655375 RXO655368:RXO655375 SHK655368:SHK655375 SRG655368:SRG655375 TBC655368:TBC655375 TKY655368:TKY655375 TUU655368:TUU655375 UEQ655368:UEQ655375 UOM655368:UOM655375 UYI655368:UYI655375 VIE655368:VIE655375 VSA655368:VSA655375 WBW655368:WBW655375 WLS655368:WLS655375 WVO655368:WVO655375 G720904:G720911 JC720904:JC720911 SY720904:SY720911 ACU720904:ACU720911 AMQ720904:AMQ720911 AWM720904:AWM720911 BGI720904:BGI720911 BQE720904:BQE720911 CAA720904:CAA720911 CJW720904:CJW720911 CTS720904:CTS720911 DDO720904:DDO720911 DNK720904:DNK720911 DXG720904:DXG720911 EHC720904:EHC720911 EQY720904:EQY720911 FAU720904:FAU720911 FKQ720904:FKQ720911 FUM720904:FUM720911 GEI720904:GEI720911 GOE720904:GOE720911 GYA720904:GYA720911 HHW720904:HHW720911 HRS720904:HRS720911 IBO720904:IBO720911 ILK720904:ILK720911 IVG720904:IVG720911 JFC720904:JFC720911 JOY720904:JOY720911 JYU720904:JYU720911 KIQ720904:KIQ720911 KSM720904:KSM720911 LCI720904:LCI720911 LME720904:LME720911 LWA720904:LWA720911 MFW720904:MFW720911 MPS720904:MPS720911 MZO720904:MZO720911 NJK720904:NJK720911 NTG720904:NTG720911 ODC720904:ODC720911 OMY720904:OMY720911 OWU720904:OWU720911 PGQ720904:PGQ720911 PQM720904:PQM720911 QAI720904:QAI720911 QKE720904:QKE720911 QUA720904:QUA720911 RDW720904:RDW720911 RNS720904:RNS720911 RXO720904:RXO720911 SHK720904:SHK720911 SRG720904:SRG720911 TBC720904:TBC720911 TKY720904:TKY720911 TUU720904:TUU720911 UEQ720904:UEQ720911 UOM720904:UOM720911 UYI720904:UYI720911 VIE720904:VIE720911 VSA720904:VSA720911 WBW720904:WBW720911 WLS720904:WLS720911 WVO720904:WVO720911 G786440:G786447 JC786440:JC786447 SY786440:SY786447 ACU786440:ACU786447 AMQ786440:AMQ786447 AWM786440:AWM786447 BGI786440:BGI786447 BQE786440:BQE786447 CAA786440:CAA786447 CJW786440:CJW786447 CTS786440:CTS786447 DDO786440:DDO786447 DNK786440:DNK786447 DXG786440:DXG786447 EHC786440:EHC786447 EQY786440:EQY786447 FAU786440:FAU786447 FKQ786440:FKQ786447 FUM786440:FUM786447 GEI786440:GEI786447 GOE786440:GOE786447 GYA786440:GYA786447 HHW786440:HHW786447 HRS786440:HRS786447 IBO786440:IBO786447 ILK786440:ILK786447 IVG786440:IVG786447 JFC786440:JFC786447 JOY786440:JOY786447 JYU786440:JYU786447 KIQ786440:KIQ786447 KSM786440:KSM786447 LCI786440:LCI786447 LME786440:LME786447 LWA786440:LWA786447 MFW786440:MFW786447 MPS786440:MPS786447 MZO786440:MZO786447 NJK786440:NJK786447 NTG786440:NTG786447 ODC786440:ODC786447 OMY786440:OMY786447 OWU786440:OWU786447 PGQ786440:PGQ786447 PQM786440:PQM786447 QAI786440:QAI786447 QKE786440:QKE786447 QUA786440:QUA786447 RDW786440:RDW786447 RNS786440:RNS786447 RXO786440:RXO786447 SHK786440:SHK786447 SRG786440:SRG786447 TBC786440:TBC786447 TKY786440:TKY786447 TUU786440:TUU786447 UEQ786440:UEQ786447 UOM786440:UOM786447 UYI786440:UYI786447 VIE786440:VIE786447 VSA786440:VSA786447 WBW786440:WBW786447 WLS786440:WLS786447 WVO786440:WVO786447 G851976:G851983 JC851976:JC851983 SY851976:SY851983 ACU851976:ACU851983 AMQ851976:AMQ851983 AWM851976:AWM851983 BGI851976:BGI851983 BQE851976:BQE851983 CAA851976:CAA851983 CJW851976:CJW851983 CTS851976:CTS851983 DDO851976:DDO851983 DNK851976:DNK851983 DXG851976:DXG851983 EHC851976:EHC851983 EQY851976:EQY851983 FAU851976:FAU851983 FKQ851976:FKQ851983 FUM851976:FUM851983 GEI851976:GEI851983 GOE851976:GOE851983 GYA851976:GYA851983 HHW851976:HHW851983 HRS851976:HRS851983 IBO851976:IBO851983 ILK851976:ILK851983 IVG851976:IVG851983 JFC851976:JFC851983 JOY851976:JOY851983 JYU851976:JYU851983 KIQ851976:KIQ851983 KSM851976:KSM851983 LCI851976:LCI851983 LME851976:LME851983 LWA851976:LWA851983 MFW851976:MFW851983 MPS851976:MPS851983 MZO851976:MZO851983 NJK851976:NJK851983 NTG851976:NTG851983 ODC851976:ODC851983 OMY851976:OMY851983 OWU851976:OWU851983 PGQ851976:PGQ851983 PQM851976:PQM851983 QAI851976:QAI851983 QKE851976:QKE851983 QUA851976:QUA851983 RDW851976:RDW851983 RNS851976:RNS851983 RXO851976:RXO851983 SHK851976:SHK851983 SRG851976:SRG851983 TBC851976:TBC851983 TKY851976:TKY851983 TUU851976:TUU851983 UEQ851976:UEQ851983 UOM851976:UOM851983 UYI851976:UYI851983 VIE851976:VIE851983 VSA851976:VSA851983 WBW851976:WBW851983 WLS851976:WLS851983 WVO851976:WVO851983 G917512:G917519 JC917512:JC917519 SY917512:SY917519 ACU917512:ACU917519 AMQ917512:AMQ917519 AWM917512:AWM917519 BGI917512:BGI917519 BQE917512:BQE917519 CAA917512:CAA917519 CJW917512:CJW917519 CTS917512:CTS917519 DDO917512:DDO917519 DNK917512:DNK917519 DXG917512:DXG917519 EHC917512:EHC917519 EQY917512:EQY917519 FAU917512:FAU917519 FKQ917512:FKQ917519 FUM917512:FUM917519 GEI917512:GEI917519 GOE917512:GOE917519 GYA917512:GYA917519 HHW917512:HHW917519 HRS917512:HRS917519 IBO917512:IBO917519 ILK917512:ILK917519 IVG917512:IVG917519 JFC917512:JFC917519 JOY917512:JOY917519 JYU917512:JYU917519 KIQ917512:KIQ917519 KSM917512:KSM917519 LCI917512:LCI917519 LME917512:LME917519 LWA917512:LWA917519 MFW917512:MFW917519 MPS917512:MPS917519 MZO917512:MZO917519 NJK917512:NJK917519 NTG917512:NTG917519 ODC917512:ODC917519 OMY917512:OMY917519 OWU917512:OWU917519 PGQ917512:PGQ917519 PQM917512:PQM917519 QAI917512:QAI917519 QKE917512:QKE917519 QUA917512:QUA917519 RDW917512:RDW917519 RNS917512:RNS917519 RXO917512:RXO917519 SHK917512:SHK917519 SRG917512:SRG917519 TBC917512:TBC917519 TKY917512:TKY917519 TUU917512:TUU917519 UEQ917512:UEQ917519 UOM917512:UOM917519 UYI917512:UYI917519 VIE917512:VIE917519 VSA917512:VSA917519 WBW917512:WBW917519 WLS917512:WLS917519 WVO917512:WVO917519 G983048:G983055 JC983048:JC983055 SY983048:SY983055 ACU983048:ACU983055 AMQ983048:AMQ983055 AWM983048:AWM983055 BGI983048:BGI983055 BQE983048:BQE983055 CAA983048:CAA983055 CJW983048:CJW983055 CTS983048:CTS983055 DDO983048:DDO983055 DNK983048:DNK983055 DXG983048:DXG983055 EHC983048:EHC983055 EQY983048:EQY983055 FAU983048:FAU983055 FKQ983048:FKQ983055 FUM983048:FUM983055 GEI983048:GEI983055 GOE983048:GOE983055 GYA983048:GYA983055 HHW983048:HHW983055 HRS983048:HRS983055 IBO983048:IBO983055 ILK983048:ILK983055 IVG983048:IVG983055 JFC983048:JFC983055 JOY983048:JOY983055 JYU983048:JYU983055 KIQ983048:KIQ983055 KSM983048:KSM983055 LCI983048:LCI983055 LME983048:LME983055 LWA983048:LWA983055 MFW983048:MFW983055 MPS983048:MPS983055 MZO983048:MZO983055 NJK983048:NJK983055 NTG983048:NTG983055 ODC983048:ODC983055 OMY983048:OMY983055 OWU983048:OWU983055 PGQ983048:PGQ983055 PQM983048:PQM983055 QAI983048:QAI983055 QKE983048:QKE983055 QUA983048:QUA983055 RDW983048:RDW983055 RNS983048:RNS983055 RXO983048:RXO983055 SHK983048:SHK983055 SRG983048:SRG983055 TBC983048:TBC983055 TKY983048:TKY983055 TUU983048:TUU983055 UEQ983048:UEQ983055 UOM983048:UOM983055 UYI983048:UYI983055 VIE983048:VIE983055 VSA983048:VSA983055 WBW983048:WBW983055 WLS983048:WLS983055 WVO983048:WVO983055" xr:uid="{0B9341D5-BBDC-464A-984E-2BFEA8AB4944}">
      <formula1>$F$35:$F$39</formula1>
    </dataValidation>
    <dataValidation type="list" allowBlank="1" showInputMessage="1" showErrorMessage="1" sqref="H8:H15 JD8:JD15 SZ8:SZ15 ACV8:ACV15 AMR8:AMR15 AWN8:AWN15 BGJ8:BGJ15 BQF8:BQF15 CAB8:CAB15 CJX8:CJX15 CTT8:CTT15 DDP8:DDP15 DNL8:DNL15 DXH8:DXH15 EHD8:EHD15 EQZ8:EQZ15 FAV8:FAV15 FKR8:FKR15 FUN8:FUN15 GEJ8:GEJ15 GOF8:GOF15 GYB8:GYB15 HHX8:HHX15 HRT8:HRT15 IBP8:IBP15 ILL8:ILL15 IVH8:IVH15 JFD8:JFD15 JOZ8:JOZ15 JYV8:JYV15 KIR8:KIR15 KSN8:KSN15 LCJ8:LCJ15 LMF8:LMF15 LWB8:LWB15 MFX8:MFX15 MPT8:MPT15 MZP8:MZP15 NJL8:NJL15 NTH8:NTH15 ODD8:ODD15 OMZ8:OMZ15 OWV8:OWV15 PGR8:PGR15 PQN8:PQN15 QAJ8:QAJ15 QKF8:QKF15 QUB8:QUB15 RDX8:RDX15 RNT8:RNT15 RXP8:RXP15 SHL8:SHL15 SRH8:SRH15 TBD8:TBD15 TKZ8:TKZ15 TUV8:TUV15 UER8:UER15 UON8:UON15 UYJ8:UYJ15 VIF8:VIF15 VSB8:VSB15 WBX8:WBX15 WLT8:WLT15 WVP8:WVP15 H65544:H65551 JD65544:JD65551 SZ65544:SZ65551 ACV65544:ACV65551 AMR65544:AMR65551 AWN65544:AWN65551 BGJ65544:BGJ65551 BQF65544:BQF65551 CAB65544:CAB65551 CJX65544:CJX65551 CTT65544:CTT65551 DDP65544:DDP65551 DNL65544:DNL65551 DXH65544:DXH65551 EHD65544:EHD65551 EQZ65544:EQZ65551 FAV65544:FAV65551 FKR65544:FKR65551 FUN65544:FUN65551 GEJ65544:GEJ65551 GOF65544:GOF65551 GYB65544:GYB65551 HHX65544:HHX65551 HRT65544:HRT65551 IBP65544:IBP65551 ILL65544:ILL65551 IVH65544:IVH65551 JFD65544:JFD65551 JOZ65544:JOZ65551 JYV65544:JYV65551 KIR65544:KIR65551 KSN65544:KSN65551 LCJ65544:LCJ65551 LMF65544:LMF65551 LWB65544:LWB65551 MFX65544:MFX65551 MPT65544:MPT65551 MZP65544:MZP65551 NJL65544:NJL65551 NTH65544:NTH65551 ODD65544:ODD65551 OMZ65544:OMZ65551 OWV65544:OWV65551 PGR65544:PGR65551 PQN65544:PQN65551 QAJ65544:QAJ65551 QKF65544:QKF65551 QUB65544:QUB65551 RDX65544:RDX65551 RNT65544:RNT65551 RXP65544:RXP65551 SHL65544:SHL65551 SRH65544:SRH65551 TBD65544:TBD65551 TKZ65544:TKZ65551 TUV65544:TUV65551 UER65544:UER65551 UON65544:UON65551 UYJ65544:UYJ65551 VIF65544:VIF65551 VSB65544:VSB65551 WBX65544:WBX65551 WLT65544:WLT65551 WVP65544:WVP65551 H131080:H131087 JD131080:JD131087 SZ131080:SZ131087 ACV131080:ACV131087 AMR131080:AMR131087 AWN131080:AWN131087 BGJ131080:BGJ131087 BQF131080:BQF131087 CAB131080:CAB131087 CJX131080:CJX131087 CTT131080:CTT131087 DDP131080:DDP131087 DNL131080:DNL131087 DXH131080:DXH131087 EHD131080:EHD131087 EQZ131080:EQZ131087 FAV131080:FAV131087 FKR131080:FKR131087 FUN131080:FUN131087 GEJ131080:GEJ131087 GOF131080:GOF131087 GYB131080:GYB131087 HHX131080:HHX131087 HRT131080:HRT131087 IBP131080:IBP131087 ILL131080:ILL131087 IVH131080:IVH131087 JFD131080:JFD131087 JOZ131080:JOZ131087 JYV131080:JYV131087 KIR131080:KIR131087 KSN131080:KSN131087 LCJ131080:LCJ131087 LMF131080:LMF131087 LWB131080:LWB131087 MFX131080:MFX131087 MPT131080:MPT131087 MZP131080:MZP131087 NJL131080:NJL131087 NTH131080:NTH131087 ODD131080:ODD131087 OMZ131080:OMZ131087 OWV131080:OWV131087 PGR131080:PGR131087 PQN131080:PQN131087 QAJ131080:QAJ131087 QKF131080:QKF131087 QUB131080:QUB131087 RDX131080:RDX131087 RNT131080:RNT131087 RXP131080:RXP131087 SHL131080:SHL131087 SRH131080:SRH131087 TBD131080:TBD131087 TKZ131080:TKZ131087 TUV131080:TUV131087 UER131080:UER131087 UON131080:UON131087 UYJ131080:UYJ131087 VIF131080:VIF131087 VSB131080:VSB131087 WBX131080:WBX131087 WLT131080:WLT131087 WVP131080:WVP131087 H196616:H196623 JD196616:JD196623 SZ196616:SZ196623 ACV196616:ACV196623 AMR196616:AMR196623 AWN196616:AWN196623 BGJ196616:BGJ196623 BQF196616:BQF196623 CAB196616:CAB196623 CJX196616:CJX196623 CTT196616:CTT196623 DDP196616:DDP196623 DNL196616:DNL196623 DXH196616:DXH196623 EHD196616:EHD196623 EQZ196616:EQZ196623 FAV196616:FAV196623 FKR196616:FKR196623 FUN196616:FUN196623 GEJ196616:GEJ196623 GOF196616:GOF196623 GYB196616:GYB196623 HHX196616:HHX196623 HRT196616:HRT196623 IBP196616:IBP196623 ILL196616:ILL196623 IVH196616:IVH196623 JFD196616:JFD196623 JOZ196616:JOZ196623 JYV196616:JYV196623 KIR196616:KIR196623 KSN196616:KSN196623 LCJ196616:LCJ196623 LMF196616:LMF196623 LWB196616:LWB196623 MFX196616:MFX196623 MPT196616:MPT196623 MZP196616:MZP196623 NJL196616:NJL196623 NTH196616:NTH196623 ODD196616:ODD196623 OMZ196616:OMZ196623 OWV196616:OWV196623 PGR196616:PGR196623 PQN196616:PQN196623 QAJ196616:QAJ196623 QKF196616:QKF196623 QUB196616:QUB196623 RDX196616:RDX196623 RNT196616:RNT196623 RXP196616:RXP196623 SHL196616:SHL196623 SRH196616:SRH196623 TBD196616:TBD196623 TKZ196616:TKZ196623 TUV196616:TUV196623 UER196616:UER196623 UON196616:UON196623 UYJ196616:UYJ196623 VIF196616:VIF196623 VSB196616:VSB196623 WBX196616:WBX196623 WLT196616:WLT196623 WVP196616:WVP196623 H262152:H262159 JD262152:JD262159 SZ262152:SZ262159 ACV262152:ACV262159 AMR262152:AMR262159 AWN262152:AWN262159 BGJ262152:BGJ262159 BQF262152:BQF262159 CAB262152:CAB262159 CJX262152:CJX262159 CTT262152:CTT262159 DDP262152:DDP262159 DNL262152:DNL262159 DXH262152:DXH262159 EHD262152:EHD262159 EQZ262152:EQZ262159 FAV262152:FAV262159 FKR262152:FKR262159 FUN262152:FUN262159 GEJ262152:GEJ262159 GOF262152:GOF262159 GYB262152:GYB262159 HHX262152:HHX262159 HRT262152:HRT262159 IBP262152:IBP262159 ILL262152:ILL262159 IVH262152:IVH262159 JFD262152:JFD262159 JOZ262152:JOZ262159 JYV262152:JYV262159 KIR262152:KIR262159 KSN262152:KSN262159 LCJ262152:LCJ262159 LMF262152:LMF262159 LWB262152:LWB262159 MFX262152:MFX262159 MPT262152:MPT262159 MZP262152:MZP262159 NJL262152:NJL262159 NTH262152:NTH262159 ODD262152:ODD262159 OMZ262152:OMZ262159 OWV262152:OWV262159 PGR262152:PGR262159 PQN262152:PQN262159 QAJ262152:QAJ262159 QKF262152:QKF262159 QUB262152:QUB262159 RDX262152:RDX262159 RNT262152:RNT262159 RXP262152:RXP262159 SHL262152:SHL262159 SRH262152:SRH262159 TBD262152:TBD262159 TKZ262152:TKZ262159 TUV262152:TUV262159 UER262152:UER262159 UON262152:UON262159 UYJ262152:UYJ262159 VIF262152:VIF262159 VSB262152:VSB262159 WBX262152:WBX262159 WLT262152:WLT262159 WVP262152:WVP262159 H327688:H327695 JD327688:JD327695 SZ327688:SZ327695 ACV327688:ACV327695 AMR327688:AMR327695 AWN327688:AWN327695 BGJ327688:BGJ327695 BQF327688:BQF327695 CAB327688:CAB327695 CJX327688:CJX327695 CTT327688:CTT327695 DDP327688:DDP327695 DNL327688:DNL327695 DXH327688:DXH327695 EHD327688:EHD327695 EQZ327688:EQZ327695 FAV327688:FAV327695 FKR327688:FKR327695 FUN327688:FUN327695 GEJ327688:GEJ327695 GOF327688:GOF327695 GYB327688:GYB327695 HHX327688:HHX327695 HRT327688:HRT327695 IBP327688:IBP327695 ILL327688:ILL327695 IVH327688:IVH327695 JFD327688:JFD327695 JOZ327688:JOZ327695 JYV327688:JYV327695 KIR327688:KIR327695 KSN327688:KSN327695 LCJ327688:LCJ327695 LMF327688:LMF327695 LWB327688:LWB327695 MFX327688:MFX327695 MPT327688:MPT327695 MZP327688:MZP327695 NJL327688:NJL327695 NTH327688:NTH327695 ODD327688:ODD327695 OMZ327688:OMZ327695 OWV327688:OWV327695 PGR327688:PGR327695 PQN327688:PQN327695 QAJ327688:QAJ327695 QKF327688:QKF327695 QUB327688:QUB327695 RDX327688:RDX327695 RNT327688:RNT327695 RXP327688:RXP327695 SHL327688:SHL327695 SRH327688:SRH327695 TBD327688:TBD327695 TKZ327688:TKZ327695 TUV327688:TUV327695 UER327688:UER327695 UON327688:UON327695 UYJ327688:UYJ327695 VIF327688:VIF327695 VSB327688:VSB327695 WBX327688:WBX327695 WLT327688:WLT327695 WVP327688:WVP327695 H393224:H393231 JD393224:JD393231 SZ393224:SZ393231 ACV393224:ACV393231 AMR393224:AMR393231 AWN393224:AWN393231 BGJ393224:BGJ393231 BQF393224:BQF393231 CAB393224:CAB393231 CJX393224:CJX393231 CTT393224:CTT393231 DDP393224:DDP393231 DNL393224:DNL393231 DXH393224:DXH393231 EHD393224:EHD393231 EQZ393224:EQZ393231 FAV393224:FAV393231 FKR393224:FKR393231 FUN393224:FUN393231 GEJ393224:GEJ393231 GOF393224:GOF393231 GYB393224:GYB393231 HHX393224:HHX393231 HRT393224:HRT393231 IBP393224:IBP393231 ILL393224:ILL393231 IVH393224:IVH393231 JFD393224:JFD393231 JOZ393224:JOZ393231 JYV393224:JYV393231 KIR393224:KIR393231 KSN393224:KSN393231 LCJ393224:LCJ393231 LMF393224:LMF393231 LWB393224:LWB393231 MFX393224:MFX393231 MPT393224:MPT393231 MZP393224:MZP393231 NJL393224:NJL393231 NTH393224:NTH393231 ODD393224:ODD393231 OMZ393224:OMZ393231 OWV393224:OWV393231 PGR393224:PGR393231 PQN393224:PQN393231 QAJ393224:QAJ393231 QKF393224:QKF393231 QUB393224:QUB393231 RDX393224:RDX393231 RNT393224:RNT393231 RXP393224:RXP393231 SHL393224:SHL393231 SRH393224:SRH393231 TBD393224:TBD393231 TKZ393224:TKZ393231 TUV393224:TUV393231 UER393224:UER393231 UON393224:UON393231 UYJ393224:UYJ393231 VIF393224:VIF393231 VSB393224:VSB393231 WBX393224:WBX393231 WLT393224:WLT393231 WVP393224:WVP393231 H458760:H458767 JD458760:JD458767 SZ458760:SZ458767 ACV458760:ACV458767 AMR458760:AMR458767 AWN458760:AWN458767 BGJ458760:BGJ458767 BQF458760:BQF458767 CAB458760:CAB458767 CJX458760:CJX458767 CTT458760:CTT458767 DDP458760:DDP458767 DNL458760:DNL458767 DXH458760:DXH458767 EHD458760:EHD458767 EQZ458760:EQZ458767 FAV458760:FAV458767 FKR458760:FKR458767 FUN458760:FUN458767 GEJ458760:GEJ458767 GOF458760:GOF458767 GYB458760:GYB458767 HHX458760:HHX458767 HRT458760:HRT458767 IBP458760:IBP458767 ILL458760:ILL458767 IVH458760:IVH458767 JFD458760:JFD458767 JOZ458760:JOZ458767 JYV458760:JYV458767 KIR458760:KIR458767 KSN458760:KSN458767 LCJ458760:LCJ458767 LMF458760:LMF458767 LWB458760:LWB458767 MFX458760:MFX458767 MPT458760:MPT458767 MZP458760:MZP458767 NJL458760:NJL458767 NTH458760:NTH458767 ODD458760:ODD458767 OMZ458760:OMZ458767 OWV458760:OWV458767 PGR458760:PGR458767 PQN458760:PQN458767 QAJ458760:QAJ458767 QKF458760:QKF458767 QUB458760:QUB458767 RDX458760:RDX458767 RNT458760:RNT458767 RXP458760:RXP458767 SHL458760:SHL458767 SRH458760:SRH458767 TBD458760:TBD458767 TKZ458760:TKZ458767 TUV458760:TUV458767 UER458760:UER458767 UON458760:UON458767 UYJ458760:UYJ458767 VIF458760:VIF458767 VSB458760:VSB458767 WBX458760:WBX458767 WLT458760:WLT458767 WVP458760:WVP458767 H524296:H524303 JD524296:JD524303 SZ524296:SZ524303 ACV524296:ACV524303 AMR524296:AMR524303 AWN524296:AWN524303 BGJ524296:BGJ524303 BQF524296:BQF524303 CAB524296:CAB524303 CJX524296:CJX524303 CTT524296:CTT524303 DDP524296:DDP524303 DNL524296:DNL524303 DXH524296:DXH524303 EHD524296:EHD524303 EQZ524296:EQZ524303 FAV524296:FAV524303 FKR524296:FKR524303 FUN524296:FUN524303 GEJ524296:GEJ524303 GOF524296:GOF524303 GYB524296:GYB524303 HHX524296:HHX524303 HRT524296:HRT524303 IBP524296:IBP524303 ILL524296:ILL524303 IVH524296:IVH524303 JFD524296:JFD524303 JOZ524296:JOZ524303 JYV524296:JYV524303 KIR524296:KIR524303 KSN524296:KSN524303 LCJ524296:LCJ524303 LMF524296:LMF524303 LWB524296:LWB524303 MFX524296:MFX524303 MPT524296:MPT524303 MZP524296:MZP524303 NJL524296:NJL524303 NTH524296:NTH524303 ODD524296:ODD524303 OMZ524296:OMZ524303 OWV524296:OWV524303 PGR524296:PGR524303 PQN524296:PQN524303 QAJ524296:QAJ524303 QKF524296:QKF524303 QUB524296:QUB524303 RDX524296:RDX524303 RNT524296:RNT524303 RXP524296:RXP524303 SHL524296:SHL524303 SRH524296:SRH524303 TBD524296:TBD524303 TKZ524296:TKZ524303 TUV524296:TUV524303 UER524296:UER524303 UON524296:UON524303 UYJ524296:UYJ524303 VIF524296:VIF524303 VSB524296:VSB524303 WBX524296:WBX524303 WLT524296:WLT524303 WVP524296:WVP524303 H589832:H589839 JD589832:JD589839 SZ589832:SZ589839 ACV589832:ACV589839 AMR589832:AMR589839 AWN589832:AWN589839 BGJ589832:BGJ589839 BQF589832:BQF589839 CAB589832:CAB589839 CJX589832:CJX589839 CTT589832:CTT589839 DDP589832:DDP589839 DNL589832:DNL589839 DXH589832:DXH589839 EHD589832:EHD589839 EQZ589832:EQZ589839 FAV589832:FAV589839 FKR589832:FKR589839 FUN589832:FUN589839 GEJ589832:GEJ589839 GOF589832:GOF589839 GYB589832:GYB589839 HHX589832:HHX589839 HRT589832:HRT589839 IBP589832:IBP589839 ILL589832:ILL589839 IVH589832:IVH589839 JFD589832:JFD589839 JOZ589832:JOZ589839 JYV589832:JYV589839 KIR589832:KIR589839 KSN589832:KSN589839 LCJ589832:LCJ589839 LMF589832:LMF589839 LWB589832:LWB589839 MFX589832:MFX589839 MPT589832:MPT589839 MZP589832:MZP589839 NJL589832:NJL589839 NTH589832:NTH589839 ODD589832:ODD589839 OMZ589832:OMZ589839 OWV589832:OWV589839 PGR589832:PGR589839 PQN589832:PQN589839 QAJ589832:QAJ589839 QKF589832:QKF589839 QUB589832:QUB589839 RDX589832:RDX589839 RNT589832:RNT589839 RXP589832:RXP589839 SHL589832:SHL589839 SRH589832:SRH589839 TBD589832:TBD589839 TKZ589832:TKZ589839 TUV589832:TUV589839 UER589832:UER589839 UON589832:UON589839 UYJ589832:UYJ589839 VIF589832:VIF589839 VSB589832:VSB589839 WBX589832:WBX589839 WLT589832:WLT589839 WVP589832:WVP589839 H655368:H655375 JD655368:JD655375 SZ655368:SZ655375 ACV655368:ACV655375 AMR655368:AMR655375 AWN655368:AWN655375 BGJ655368:BGJ655375 BQF655368:BQF655375 CAB655368:CAB655375 CJX655368:CJX655375 CTT655368:CTT655375 DDP655368:DDP655375 DNL655368:DNL655375 DXH655368:DXH655375 EHD655368:EHD655375 EQZ655368:EQZ655375 FAV655368:FAV655375 FKR655368:FKR655375 FUN655368:FUN655375 GEJ655368:GEJ655375 GOF655368:GOF655375 GYB655368:GYB655375 HHX655368:HHX655375 HRT655368:HRT655375 IBP655368:IBP655375 ILL655368:ILL655375 IVH655368:IVH655375 JFD655368:JFD655375 JOZ655368:JOZ655375 JYV655368:JYV655375 KIR655368:KIR655375 KSN655368:KSN655375 LCJ655368:LCJ655375 LMF655368:LMF655375 LWB655368:LWB655375 MFX655368:MFX655375 MPT655368:MPT655375 MZP655368:MZP655375 NJL655368:NJL655375 NTH655368:NTH655375 ODD655368:ODD655375 OMZ655368:OMZ655375 OWV655368:OWV655375 PGR655368:PGR655375 PQN655368:PQN655375 QAJ655368:QAJ655375 QKF655368:QKF655375 QUB655368:QUB655375 RDX655368:RDX655375 RNT655368:RNT655375 RXP655368:RXP655375 SHL655368:SHL655375 SRH655368:SRH655375 TBD655368:TBD655375 TKZ655368:TKZ655375 TUV655368:TUV655375 UER655368:UER655375 UON655368:UON655375 UYJ655368:UYJ655375 VIF655368:VIF655375 VSB655368:VSB655375 WBX655368:WBX655375 WLT655368:WLT655375 WVP655368:WVP655375 H720904:H720911 JD720904:JD720911 SZ720904:SZ720911 ACV720904:ACV720911 AMR720904:AMR720911 AWN720904:AWN720911 BGJ720904:BGJ720911 BQF720904:BQF720911 CAB720904:CAB720911 CJX720904:CJX720911 CTT720904:CTT720911 DDP720904:DDP720911 DNL720904:DNL720911 DXH720904:DXH720911 EHD720904:EHD720911 EQZ720904:EQZ720911 FAV720904:FAV720911 FKR720904:FKR720911 FUN720904:FUN720911 GEJ720904:GEJ720911 GOF720904:GOF720911 GYB720904:GYB720911 HHX720904:HHX720911 HRT720904:HRT720911 IBP720904:IBP720911 ILL720904:ILL720911 IVH720904:IVH720911 JFD720904:JFD720911 JOZ720904:JOZ720911 JYV720904:JYV720911 KIR720904:KIR720911 KSN720904:KSN720911 LCJ720904:LCJ720911 LMF720904:LMF720911 LWB720904:LWB720911 MFX720904:MFX720911 MPT720904:MPT720911 MZP720904:MZP720911 NJL720904:NJL720911 NTH720904:NTH720911 ODD720904:ODD720911 OMZ720904:OMZ720911 OWV720904:OWV720911 PGR720904:PGR720911 PQN720904:PQN720911 QAJ720904:QAJ720911 QKF720904:QKF720911 QUB720904:QUB720911 RDX720904:RDX720911 RNT720904:RNT720911 RXP720904:RXP720911 SHL720904:SHL720911 SRH720904:SRH720911 TBD720904:TBD720911 TKZ720904:TKZ720911 TUV720904:TUV720911 UER720904:UER720911 UON720904:UON720911 UYJ720904:UYJ720911 VIF720904:VIF720911 VSB720904:VSB720911 WBX720904:WBX720911 WLT720904:WLT720911 WVP720904:WVP720911 H786440:H786447 JD786440:JD786447 SZ786440:SZ786447 ACV786440:ACV786447 AMR786440:AMR786447 AWN786440:AWN786447 BGJ786440:BGJ786447 BQF786440:BQF786447 CAB786440:CAB786447 CJX786440:CJX786447 CTT786440:CTT786447 DDP786440:DDP786447 DNL786440:DNL786447 DXH786440:DXH786447 EHD786440:EHD786447 EQZ786440:EQZ786447 FAV786440:FAV786447 FKR786440:FKR786447 FUN786440:FUN786447 GEJ786440:GEJ786447 GOF786440:GOF786447 GYB786440:GYB786447 HHX786440:HHX786447 HRT786440:HRT786447 IBP786440:IBP786447 ILL786440:ILL786447 IVH786440:IVH786447 JFD786440:JFD786447 JOZ786440:JOZ786447 JYV786440:JYV786447 KIR786440:KIR786447 KSN786440:KSN786447 LCJ786440:LCJ786447 LMF786440:LMF786447 LWB786440:LWB786447 MFX786440:MFX786447 MPT786440:MPT786447 MZP786440:MZP786447 NJL786440:NJL786447 NTH786440:NTH786447 ODD786440:ODD786447 OMZ786440:OMZ786447 OWV786440:OWV786447 PGR786440:PGR786447 PQN786440:PQN786447 QAJ786440:QAJ786447 QKF786440:QKF786447 QUB786440:QUB786447 RDX786440:RDX786447 RNT786440:RNT786447 RXP786440:RXP786447 SHL786440:SHL786447 SRH786440:SRH786447 TBD786440:TBD786447 TKZ786440:TKZ786447 TUV786440:TUV786447 UER786440:UER786447 UON786440:UON786447 UYJ786440:UYJ786447 VIF786440:VIF786447 VSB786440:VSB786447 WBX786440:WBX786447 WLT786440:WLT786447 WVP786440:WVP786447 H851976:H851983 JD851976:JD851983 SZ851976:SZ851983 ACV851976:ACV851983 AMR851976:AMR851983 AWN851976:AWN851983 BGJ851976:BGJ851983 BQF851976:BQF851983 CAB851976:CAB851983 CJX851976:CJX851983 CTT851976:CTT851983 DDP851976:DDP851983 DNL851976:DNL851983 DXH851976:DXH851983 EHD851976:EHD851983 EQZ851976:EQZ851983 FAV851976:FAV851983 FKR851976:FKR851983 FUN851976:FUN851983 GEJ851976:GEJ851983 GOF851976:GOF851983 GYB851976:GYB851983 HHX851976:HHX851983 HRT851976:HRT851983 IBP851976:IBP851983 ILL851976:ILL851983 IVH851976:IVH851983 JFD851976:JFD851983 JOZ851976:JOZ851983 JYV851976:JYV851983 KIR851976:KIR851983 KSN851976:KSN851983 LCJ851976:LCJ851983 LMF851976:LMF851983 LWB851976:LWB851983 MFX851976:MFX851983 MPT851976:MPT851983 MZP851976:MZP851983 NJL851976:NJL851983 NTH851976:NTH851983 ODD851976:ODD851983 OMZ851976:OMZ851983 OWV851976:OWV851983 PGR851976:PGR851983 PQN851976:PQN851983 QAJ851976:QAJ851983 QKF851976:QKF851983 QUB851976:QUB851983 RDX851976:RDX851983 RNT851976:RNT851983 RXP851976:RXP851983 SHL851976:SHL851983 SRH851976:SRH851983 TBD851976:TBD851983 TKZ851976:TKZ851983 TUV851976:TUV851983 UER851976:UER851983 UON851976:UON851983 UYJ851976:UYJ851983 VIF851976:VIF851983 VSB851976:VSB851983 WBX851976:WBX851983 WLT851976:WLT851983 WVP851976:WVP851983 H917512:H917519 JD917512:JD917519 SZ917512:SZ917519 ACV917512:ACV917519 AMR917512:AMR917519 AWN917512:AWN917519 BGJ917512:BGJ917519 BQF917512:BQF917519 CAB917512:CAB917519 CJX917512:CJX917519 CTT917512:CTT917519 DDP917512:DDP917519 DNL917512:DNL917519 DXH917512:DXH917519 EHD917512:EHD917519 EQZ917512:EQZ917519 FAV917512:FAV917519 FKR917512:FKR917519 FUN917512:FUN917519 GEJ917512:GEJ917519 GOF917512:GOF917519 GYB917512:GYB917519 HHX917512:HHX917519 HRT917512:HRT917519 IBP917512:IBP917519 ILL917512:ILL917519 IVH917512:IVH917519 JFD917512:JFD917519 JOZ917512:JOZ917519 JYV917512:JYV917519 KIR917512:KIR917519 KSN917512:KSN917519 LCJ917512:LCJ917519 LMF917512:LMF917519 LWB917512:LWB917519 MFX917512:MFX917519 MPT917512:MPT917519 MZP917512:MZP917519 NJL917512:NJL917519 NTH917512:NTH917519 ODD917512:ODD917519 OMZ917512:OMZ917519 OWV917512:OWV917519 PGR917512:PGR917519 PQN917512:PQN917519 QAJ917512:QAJ917519 QKF917512:QKF917519 QUB917512:QUB917519 RDX917512:RDX917519 RNT917512:RNT917519 RXP917512:RXP917519 SHL917512:SHL917519 SRH917512:SRH917519 TBD917512:TBD917519 TKZ917512:TKZ917519 TUV917512:TUV917519 UER917512:UER917519 UON917512:UON917519 UYJ917512:UYJ917519 VIF917512:VIF917519 VSB917512:VSB917519 WBX917512:WBX917519 WLT917512:WLT917519 WVP917512:WVP917519 H983048:H983055 JD983048:JD983055 SZ983048:SZ983055 ACV983048:ACV983055 AMR983048:AMR983055 AWN983048:AWN983055 BGJ983048:BGJ983055 BQF983048:BQF983055 CAB983048:CAB983055 CJX983048:CJX983055 CTT983048:CTT983055 DDP983048:DDP983055 DNL983048:DNL983055 DXH983048:DXH983055 EHD983048:EHD983055 EQZ983048:EQZ983055 FAV983048:FAV983055 FKR983048:FKR983055 FUN983048:FUN983055 GEJ983048:GEJ983055 GOF983048:GOF983055 GYB983048:GYB983055 HHX983048:HHX983055 HRT983048:HRT983055 IBP983048:IBP983055 ILL983048:ILL983055 IVH983048:IVH983055 JFD983048:JFD983055 JOZ983048:JOZ983055 JYV983048:JYV983055 KIR983048:KIR983055 KSN983048:KSN983055 LCJ983048:LCJ983055 LMF983048:LMF983055 LWB983048:LWB983055 MFX983048:MFX983055 MPT983048:MPT983055 MZP983048:MZP983055 NJL983048:NJL983055 NTH983048:NTH983055 ODD983048:ODD983055 OMZ983048:OMZ983055 OWV983048:OWV983055 PGR983048:PGR983055 PQN983048:PQN983055 QAJ983048:QAJ983055 QKF983048:QKF983055 QUB983048:QUB983055 RDX983048:RDX983055 RNT983048:RNT983055 RXP983048:RXP983055 SHL983048:SHL983055 SRH983048:SRH983055 TBD983048:TBD983055 TKZ983048:TKZ983055 TUV983048:TUV983055 UER983048:UER983055 UON983048:UON983055 UYJ983048:UYJ983055 VIF983048:VIF983055 VSB983048:VSB983055 WBX983048:WBX983055 WLT983048:WLT983055 WVP983048:WVP983055" xr:uid="{39EB594A-F7C8-4A02-B3E0-686F4E777725}">
      <formula1>$G$35:$G$39</formula1>
    </dataValidation>
  </dataValidations>
  <pageMargins left="0.59055118110236227" right="0.59055118110236227" top="0.59055118110236227" bottom="0.59055118110236227" header="0.51181102362204722" footer="0.51181102362204722"/>
  <pageSetup paperSize="9" scale="61" orientation="landscape" r:id="rId1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E5EC11-54E7-4C41-9391-CA0D93BD7737}">
  <sheetPr codeName="Plan4">
    <pageSetUpPr fitToPage="1"/>
  </sheetPr>
  <dimension ref="A1:AF15"/>
  <sheetViews>
    <sheetView showGridLines="0" zoomScaleNormal="100" workbookViewId="0">
      <pane xSplit="5" ySplit="7" topLeftCell="F11" activePane="bottomRight" state="frozen"/>
      <selection activeCell="S12" sqref="S12"/>
      <selection pane="topRight" activeCell="S12" sqref="S12"/>
      <selection pane="bottomLeft" activeCell="S12" sqref="S12"/>
      <selection pane="bottomRight" activeCell="S12" sqref="S12"/>
    </sheetView>
  </sheetViews>
  <sheetFormatPr defaultColWidth="9.109375" defaultRowHeight="10.199999999999999" x14ac:dyDescent="0.25"/>
  <cols>
    <col min="1" max="1" width="4.6640625" style="139" customWidth="1"/>
    <col min="2" max="2" width="30.88671875" style="139" customWidth="1"/>
    <col min="3" max="3" width="25" style="142" customWidth="1"/>
    <col min="4" max="4" width="32.6640625" style="139" customWidth="1"/>
    <col min="5" max="5" width="9.5546875" style="141" customWidth="1"/>
    <col min="6" max="6" width="17.44140625" style="139" customWidth="1"/>
    <col min="7" max="8" width="23.5546875" style="140" customWidth="1"/>
    <col min="9" max="9" width="26.33203125" style="140" customWidth="1"/>
    <col min="10" max="11" width="24.33203125" style="139" customWidth="1"/>
    <col min="12" max="12" width="8.88671875" style="139" customWidth="1"/>
    <col min="13" max="13" width="10" style="139" customWidth="1"/>
    <col min="14" max="14" width="14.33203125" style="139" customWidth="1"/>
    <col min="15" max="16384" width="9.109375" style="139"/>
  </cols>
  <sheetData>
    <row r="1" spans="1:32" ht="13.8" thickBot="1" x14ac:dyDescent="0.3">
      <c r="A1" s="201" t="s">
        <v>330</v>
      </c>
      <c r="B1" s="200"/>
      <c r="C1" s="200"/>
      <c r="D1" s="235"/>
      <c r="AB1" s="195" t="s">
        <v>287</v>
      </c>
      <c r="AC1" s="194"/>
      <c r="AD1" s="157"/>
      <c r="AE1" s="193" t="s">
        <v>286</v>
      </c>
      <c r="AF1" s="192"/>
    </row>
    <row r="2" spans="1:32" ht="13.2" x14ac:dyDescent="0.25">
      <c r="A2" s="190"/>
      <c r="B2" s="189"/>
      <c r="C2" s="189"/>
      <c r="D2" s="236"/>
      <c r="AB2" s="187"/>
      <c r="AC2" s="186"/>
      <c r="AD2" s="157"/>
      <c r="AE2" s="185"/>
      <c r="AF2" s="184"/>
    </row>
    <row r="3" spans="1:32" ht="13.8" thickBot="1" x14ac:dyDescent="0.3">
      <c r="A3" s="183"/>
      <c r="B3" s="182"/>
      <c r="C3" s="182"/>
      <c r="D3" s="234"/>
      <c r="AB3" s="187"/>
      <c r="AC3" s="186"/>
      <c r="AD3" s="157"/>
      <c r="AE3" s="185"/>
      <c r="AF3" s="184"/>
    </row>
    <row r="4" spans="1:32" ht="13.2" x14ac:dyDescent="0.25">
      <c r="A4" s="201" t="str">
        <f>Identificar!A4</f>
        <v>Picke Your Driver</v>
      </c>
      <c r="B4" s="200"/>
      <c r="C4" s="200"/>
      <c r="D4" s="235"/>
      <c r="AB4" s="187"/>
      <c r="AC4" s="186"/>
      <c r="AD4" s="157"/>
      <c r="AE4" s="185"/>
      <c r="AF4" s="184"/>
    </row>
    <row r="5" spans="1:32" ht="27" thickBot="1" x14ac:dyDescent="0.3">
      <c r="A5" s="183"/>
      <c r="B5" s="182"/>
      <c r="C5" s="182"/>
      <c r="D5" s="234"/>
      <c r="E5" s="139"/>
      <c r="AB5" s="178" t="s">
        <v>285</v>
      </c>
      <c r="AC5" s="177">
        <v>1</v>
      </c>
      <c r="AD5" s="157"/>
      <c r="AE5" s="178" t="s">
        <v>284</v>
      </c>
      <c r="AF5" s="177">
        <v>1</v>
      </c>
    </row>
    <row r="6" spans="1:32" ht="27" customHeight="1" thickBot="1" x14ac:dyDescent="0.3">
      <c r="A6" s="176" t="s">
        <v>283</v>
      </c>
      <c r="B6" s="174" t="s">
        <v>281</v>
      </c>
      <c r="C6" s="173"/>
      <c r="D6" s="172"/>
      <c r="E6" s="171" t="s">
        <v>280</v>
      </c>
      <c r="F6" s="168"/>
      <c r="G6" s="170" t="s">
        <v>329</v>
      </c>
      <c r="H6" s="170" t="s">
        <v>328</v>
      </c>
      <c r="I6" s="170" t="s">
        <v>327</v>
      </c>
      <c r="J6" s="170" t="s">
        <v>278</v>
      </c>
      <c r="K6" s="169" t="s">
        <v>277</v>
      </c>
      <c r="AB6" s="156" t="s">
        <v>275</v>
      </c>
      <c r="AC6" s="155">
        <v>2</v>
      </c>
      <c r="AD6" s="157"/>
      <c r="AE6" s="156" t="s">
        <v>274</v>
      </c>
      <c r="AF6" s="155">
        <v>2</v>
      </c>
    </row>
    <row r="7" spans="1:32" s="154" customFormat="1" ht="52.5" customHeight="1" thickBot="1" x14ac:dyDescent="0.3">
      <c r="A7" s="166"/>
      <c r="B7" s="164" t="s">
        <v>271</v>
      </c>
      <c r="C7" s="164" t="s">
        <v>270</v>
      </c>
      <c r="D7" s="163" t="s">
        <v>308</v>
      </c>
      <c r="E7" s="162"/>
      <c r="F7" s="159" t="s">
        <v>268</v>
      </c>
      <c r="G7" s="161"/>
      <c r="H7" s="161"/>
      <c r="I7" s="161"/>
      <c r="J7" s="233"/>
      <c r="K7" s="232"/>
      <c r="AB7" s="156" t="s">
        <v>267</v>
      </c>
      <c r="AC7" s="155">
        <v>3</v>
      </c>
      <c r="AD7" s="157"/>
      <c r="AE7" s="156" t="s">
        <v>266</v>
      </c>
      <c r="AF7" s="155">
        <v>3</v>
      </c>
    </row>
    <row r="8" spans="1:32" ht="31.2" x14ac:dyDescent="0.25">
      <c r="A8" s="152" t="str">
        <f>IF(Identificar!A8&lt;&gt;"",Identificar!A8,"")</f>
        <v>R01</v>
      </c>
      <c r="B8" s="152" t="str">
        <f>IF(Identificar!D8&lt;&gt;"",Identificar!D8,"")</f>
        <v>Como resultado da ausência de desenvolvedores-chave</v>
      </c>
      <c r="C8" s="152" t="str">
        <f>IF(Identificar!E8&lt;&gt;"",Identificar!E8,"")</f>
        <v>Pode ocorrer atraso no desenvolvimento do sistema</v>
      </c>
      <c r="D8" s="152" t="str">
        <f>IF(Identificar!F8&lt;&gt;"",Identificar!F8,"")</f>
        <v>O que acarretaria atraso na entrega do aplicativo</v>
      </c>
      <c r="E8" s="152" t="str">
        <f>IF(Identificar!G8&lt;&gt;"",Identificar!G8,"")</f>
        <v>Fábio</v>
      </c>
      <c r="F8" s="149" t="s">
        <v>258</v>
      </c>
      <c r="G8" s="231">
        <v>4300</v>
      </c>
      <c r="H8" s="230">
        <v>10</v>
      </c>
      <c r="I8" s="230" t="s">
        <v>319</v>
      </c>
      <c r="J8" s="229" t="str">
        <f>Identificar!I8</f>
        <v>Planejar férias e ausências, manter documentação acessível e equipe multidisciplinar</v>
      </c>
      <c r="K8" s="229" t="str">
        <f>Identificar!J8</f>
        <v>Realocar tarefas para outros membros, readequar cronograma</v>
      </c>
      <c r="AB8" s="144" t="s">
        <v>257</v>
      </c>
      <c r="AC8" s="143">
        <v>4</v>
      </c>
      <c r="AD8" s="145"/>
      <c r="AE8" s="144" t="s">
        <v>256</v>
      </c>
      <c r="AF8" s="143">
        <v>4</v>
      </c>
    </row>
    <row r="9" spans="1:32" ht="41.4" thickBot="1" x14ac:dyDescent="0.3">
      <c r="A9" s="152" t="str">
        <f>IF(Identificar!A9&lt;&gt;"",Identificar!A9,"")</f>
        <v>R02</v>
      </c>
      <c r="B9" s="152" t="str">
        <f>IF(Identificar!D9&lt;&gt;"",Identificar!D9,"")</f>
        <v>Como resultado da baixa experiência da equipe com APIs de mapas e geolocalização</v>
      </c>
      <c r="C9" s="152" t="str">
        <f>IF(Identificar!E9&lt;&gt;"",Identificar!E9,"")</f>
        <v>Pode ocorrer falha na implementação do cálculo de rota e custo</v>
      </c>
      <c r="D9" s="152" t="str">
        <f>IF(Identificar!F9&lt;&gt;"",Identificar!F9,"")</f>
        <v>O que acarretaria em estimativas incorretas ou sistema ineficaz</v>
      </c>
      <c r="E9" s="152" t="str">
        <f>IF(Identificar!G9&lt;&gt;"",Identificar!G9,"")</f>
        <v>Leonardo</v>
      </c>
      <c r="F9" s="149" t="s">
        <v>326</v>
      </c>
      <c r="G9" s="231">
        <v>7800</v>
      </c>
      <c r="H9" s="230">
        <v>20</v>
      </c>
      <c r="I9" s="230" t="s">
        <v>319</v>
      </c>
      <c r="J9" s="229" t="str">
        <f>Identificar!I9</f>
        <v>Oferecer treinamentos específicos e pair programming</v>
      </c>
      <c r="K9" s="229" t="str">
        <f>Identificar!J9</f>
        <v>Contratar consultoria externa ou adotar soluções mais simples</v>
      </c>
      <c r="AB9" s="147"/>
      <c r="AC9" s="146"/>
      <c r="AD9" s="145"/>
      <c r="AE9" s="144"/>
      <c r="AF9" s="143"/>
    </row>
    <row r="10" spans="1:32" ht="41.4" thickBot="1" x14ac:dyDescent="0.3">
      <c r="A10" s="152" t="str">
        <f>IF(Identificar!A10&lt;&gt;"",Identificar!A10,"")</f>
        <v>R03</v>
      </c>
      <c r="B10" s="152" t="str">
        <f>IF(Identificar!D10&lt;&gt;"",Identificar!D10,"")</f>
        <v>Como resultado da falta de alinhamento entre as áreas de design e desenvolvimento</v>
      </c>
      <c r="C10" s="152" t="str">
        <f>IF(Identificar!E10&lt;&gt;"",Identificar!E10,"")</f>
        <v>Pode ocorrer incompatibilidade entre as funcionalidades planejadas e implementadas</v>
      </c>
      <c r="D10" s="152" t="str">
        <f>IF(Identificar!F10&lt;&gt;"",Identificar!F10,"")</f>
        <v>O que acarretaria retrabalho e aumento no tempo de entrega</v>
      </c>
      <c r="E10" s="152" t="str">
        <f>IF(Identificar!G10&lt;&gt;"",Identificar!G10,"")</f>
        <v>Fábio</v>
      </c>
      <c r="F10" s="149" t="s">
        <v>325</v>
      </c>
      <c r="G10" s="231">
        <v>1500</v>
      </c>
      <c r="H10" s="230">
        <v>4</v>
      </c>
      <c r="I10" s="230" t="s">
        <v>319</v>
      </c>
      <c r="J10" s="229" t="str">
        <f>Identificar!I10</f>
        <v>Realizar reuniões de alinhamento e uso de ferramentas como Trello, Slack ou Jira</v>
      </c>
      <c r="K10" s="229" t="str">
        <f>Identificar!J10</f>
        <v>Nomear mediador ou facilitador de comunicação entre as áreas</v>
      </c>
      <c r="AB10" s="147"/>
      <c r="AC10" s="146"/>
      <c r="AD10" s="145"/>
      <c r="AE10" s="144"/>
      <c r="AF10" s="143"/>
    </row>
    <row r="11" spans="1:32" ht="41.4" thickBot="1" x14ac:dyDescent="0.3">
      <c r="A11" s="152" t="str">
        <f>IF(Identificar!A11&lt;&gt;"",Identificar!A11,"")</f>
        <v>R04</v>
      </c>
      <c r="B11" s="152" t="str">
        <f>IF(Identificar!D11&lt;&gt;"",Identificar!D11,"")</f>
        <v>Como resultado de falhas nos servidores de hospedagem</v>
      </c>
      <c r="C11" s="152" t="str">
        <f>IF(Identificar!E11&lt;&gt;"",Identificar!E11,"")</f>
        <v>Pode ocorrer indisponibilidade do sistema durante testes ou produção</v>
      </c>
      <c r="D11" s="152" t="str">
        <f>IF(Identificar!F11&lt;&gt;"",Identificar!F11,"")</f>
        <v>O que acarretaria perda de credibilidade do sistema</v>
      </c>
      <c r="E11" s="152" t="str">
        <f>IF(Identificar!G11&lt;&gt;"",Identificar!G11,"")</f>
        <v>Fabrício</v>
      </c>
      <c r="F11" s="149" t="s">
        <v>324</v>
      </c>
      <c r="G11" s="231">
        <v>1500</v>
      </c>
      <c r="H11" s="230">
        <v>4</v>
      </c>
      <c r="I11" s="230" t="s">
        <v>319</v>
      </c>
      <c r="J11" s="229" t="str">
        <f>Identificar!I11</f>
        <v>Utilizar serviços em nuvem confiáveis com redundância</v>
      </c>
      <c r="K11" s="229" t="str">
        <f>Identificar!J11</f>
        <v>Mover sistema para servidor de backup ou plano de disaster recovery</v>
      </c>
      <c r="AB11" s="147"/>
      <c r="AC11" s="146"/>
      <c r="AD11" s="145"/>
      <c r="AE11" s="144"/>
      <c r="AF11" s="143"/>
    </row>
    <row r="12" spans="1:32" ht="51.6" thickBot="1" x14ac:dyDescent="0.3">
      <c r="A12" s="152" t="str">
        <f>IF(Identificar!A12&lt;&gt;"",Identificar!A12,"")</f>
        <v>R05</v>
      </c>
      <c r="B12" s="152" t="str">
        <f>IF(Identificar!D12&lt;&gt;"",Identificar!D12,"")</f>
        <v>Como resultado de problemas nos dispositivos usados para testes</v>
      </c>
      <c r="C12" s="152" t="str">
        <f>IF(Identificar!E12&lt;&gt;"",Identificar!E12,"")</f>
        <v>Pode ocorrer erro na validação de funcionalidades</v>
      </c>
      <c r="D12" s="152" t="str">
        <f>IF(Identificar!F12&lt;&gt;"",Identificar!F12,"")</f>
        <v>O que acarretaria liberação de sistema com falhas</v>
      </c>
      <c r="E12" s="152" t="str">
        <f>IF(Identificar!G12&lt;&gt;"",Identificar!G12,"")</f>
        <v>Fabrício</v>
      </c>
      <c r="F12" s="149" t="s">
        <v>323</v>
      </c>
      <c r="G12" s="231">
        <v>2400</v>
      </c>
      <c r="H12" s="230">
        <v>7</v>
      </c>
      <c r="I12" s="230" t="s">
        <v>319</v>
      </c>
      <c r="J12" s="229" t="str">
        <f>Identificar!I12</f>
        <v>Garantir equipamentos de reserva e manutenções periódicas</v>
      </c>
      <c r="K12" s="229" t="str">
        <f>Identificar!J12</f>
        <v>Utilizar emuladores ou dispositivos alternativos para testes</v>
      </c>
      <c r="AB12" s="147"/>
      <c r="AC12" s="146"/>
      <c r="AD12" s="145"/>
      <c r="AE12" s="144"/>
      <c r="AF12" s="143"/>
    </row>
    <row r="13" spans="1:32" ht="31.8" thickBot="1" x14ac:dyDescent="0.3">
      <c r="A13" s="152" t="str">
        <f>IF(Identificar!A13&lt;&gt;"",Identificar!A13,"")</f>
        <v>R06</v>
      </c>
      <c r="B13" s="152" t="str">
        <f>IF(Identificar!D13&lt;&gt;"",Identificar!D13,"")</f>
        <v>Como resultado de falhas não identificadas durante os testes</v>
      </c>
      <c r="C13" s="152" t="str">
        <f>IF(Identificar!E13&lt;&gt;"",Identificar!E13,"")</f>
        <v>Pode ocorrer cálculo incorreto do valor estimado</v>
      </c>
      <c r="D13" s="152" t="str">
        <f>IF(Identificar!F13&lt;&gt;"",Identificar!F13,"")</f>
        <v>O que acarretaria insatisfação e perda de confiança dos usuários</v>
      </c>
      <c r="E13" s="152" t="str">
        <f>IF(Identificar!G13&lt;&gt;"",Identificar!G13,"")</f>
        <v>Leonardo</v>
      </c>
      <c r="F13" s="149" t="s">
        <v>322</v>
      </c>
      <c r="G13" s="231">
        <v>7800</v>
      </c>
      <c r="H13" s="230">
        <v>10</v>
      </c>
      <c r="I13" s="230" t="s">
        <v>319</v>
      </c>
      <c r="J13" s="229" t="str">
        <f>Identificar!I13</f>
        <v>Aplicar testes automatizados, manuais e beta testing</v>
      </c>
      <c r="K13" s="229" t="str">
        <f>Identificar!J13</f>
        <v>Corrigir com hotfixes e reverter para versão anterior estável</v>
      </c>
      <c r="AB13" s="147"/>
      <c r="AC13" s="146"/>
      <c r="AD13" s="145"/>
      <c r="AE13" s="144"/>
      <c r="AF13" s="143"/>
    </row>
    <row r="14" spans="1:32" ht="31.8" thickBot="1" x14ac:dyDescent="0.3">
      <c r="A14" s="152" t="str">
        <f>IF(Identificar!A14&lt;&gt;"",Identificar!A14,"")</f>
        <v>R07</v>
      </c>
      <c r="B14" s="152" t="str">
        <f>IF(Identificar!D14&lt;&gt;"",Identificar!D14,"")</f>
        <v>Como resultado de falha na integração com APIs externas (Google Maps, Uber API, etc.)</v>
      </c>
      <c r="C14" s="152" t="str">
        <f>IF(Identificar!E14&lt;&gt;"",Identificar!E14,"")</f>
        <v>Pode ocorrer erro na coleta de dados de distância ou valores base</v>
      </c>
      <c r="D14" s="152" t="str">
        <f>IF(Identificar!F14&lt;&gt;"",Identificar!F14,"")</f>
        <v>O que acarretaria resultados imprecisos e funcionamento parcial do sistema</v>
      </c>
      <c r="E14" s="152" t="str">
        <f>IF(Identificar!G14&lt;&gt;"",Identificar!G14,"")</f>
        <v>Daniel</v>
      </c>
      <c r="F14" s="149" t="s">
        <v>321</v>
      </c>
      <c r="G14" s="231">
        <v>3000</v>
      </c>
      <c r="H14" s="230">
        <v>8</v>
      </c>
      <c r="I14" s="230" t="s">
        <v>319</v>
      </c>
      <c r="J14" s="229" t="str">
        <f>Identificar!I14</f>
        <v>Testes regulares de integração e uso de mocks</v>
      </c>
      <c r="K14" s="229" t="str">
        <f>Identificar!J14</f>
        <v>Implementar fallback local e alertar usuários temporariamente</v>
      </c>
      <c r="AB14" s="147"/>
      <c r="AC14" s="146"/>
      <c r="AD14" s="145"/>
      <c r="AE14" s="144"/>
      <c r="AF14" s="143"/>
    </row>
    <row r="15" spans="1:32" ht="41.4" thickBot="1" x14ac:dyDescent="0.3">
      <c r="A15" s="152" t="str">
        <f>IF(Identificar!A15&lt;&gt;"",Identificar!A15,"")</f>
        <v>R08</v>
      </c>
      <c r="B15" s="152" t="str">
        <f>IF(Identificar!D15&lt;&gt;"",Identificar!D15,"")</f>
        <v>Como resultado de instabilidade na conexão de internet durante o uso do sistema</v>
      </c>
      <c r="C15" s="152" t="str">
        <f>IF(Identificar!E15&lt;&gt;"",Identificar!E15,"")</f>
        <v>Pode ocorrer falha no carregamento de dados em tempo real</v>
      </c>
      <c r="D15" s="152" t="str">
        <f>IF(Identificar!F15&lt;&gt;"",Identificar!F15,"")</f>
        <v>O que acarretaria uma má experiência do usuário</v>
      </c>
      <c r="E15" s="152" t="str">
        <f>IF(Identificar!G15&lt;&gt;"",Identificar!G15,"")</f>
        <v>Daniel</v>
      </c>
      <c r="F15" s="149" t="s">
        <v>320</v>
      </c>
      <c r="G15" s="231">
        <v>1500</v>
      </c>
      <c r="H15" s="230">
        <v>4</v>
      </c>
      <c r="I15" s="230" t="s">
        <v>319</v>
      </c>
      <c r="J15" s="229" t="str">
        <f>Identificar!I15</f>
        <v>Ter link de backup e monitoramento de rede</v>
      </c>
      <c r="K15" s="229" t="str">
        <f>Identificar!J15</f>
        <v>Permitir modo offline e sincronização posterior</v>
      </c>
      <c r="AB15" s="147"/>
      <c r="AC15" s="146"/>
      <c r="AD15" s="145"/>
      <c r="AE15" s="144"/>
      <c r="AF15" s="143"/>
    </row>
  </sheetData>
  <autoFilter ref="A6:E15" xr:uid="{3B0C1B10-330B-48F3-ADDD-AE8CEE3D7BDC}">
    <filterColumn colId="1" showButton="0"/>
    <filterColumn colId="2" showButton="0"/>
  </autoFilter>
  <mergeCells count="12">
    <mergeCell ref="B6:D6"/>
    <mergeCell ref="AE1:AF1"/>
    <mergeCell ref="A1:D3"/>
    <mergeCell ref="A4:D5"/>
    <mergeCell ref="AB1:AC1"/>
    <mergeCell ref="A6:A7"/>
    <mergeCell ref="E6:E7"/>
    <mergeCell ref="I6:I7"/>
    <mergeCell ref="J6:J7"/>
    <mergeCell ref="K6:K7"/>
    <mergeCell ref="G6:G7"/>
    <mergeCell ref="H6:H7"/>
  </mergeCells>
  <pageMargins left="0.59055118110236227" right="0.59055118110236227" top="0.59055118110236227" bottom="0.59055118110236227" header="0.51181102362204722" footer="0.51181102362204722"/>
  <pageSetup paperSize="9" scale="61" orientation="landscape" r:id="rId1"/>
  <headerFooter alignWithMargins="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478522-677B-4C85-8957-FE870CAFFFF8}">
  <sheetPr codeName="Plan5"/>
  <dimension ref="A1:K30"/>
  <sheetViews>
    <sheetView showGridLines="0" workbookViewId="0">
      <selection activeCell="C20" sqref="C20"/>
    </sheetView>
  </sheetViews>
  <sheetFormatPr defaultRowHeight="13.2" x14ac:dyDescent="0.25"/>
  <cols>
    <col min="1" max="2" width="8.88671875" style="157" customWidth="1"/>
    <col min="3" max="3" width="11.109375" style="157" customWidth="1"/>
    <col min="4" max="4" width="13.33203125" style="157" bestFit="1" customWidth="1"/>
    <col min="5" max="5" width="12" style="157" customWidth="1"/>
    <col min="6" max="7" width="8.88671875" style="157" customWidth="1"/>
    <col min="8" max="8" width="74.44140625" style="157" customWidth="1"/>
    <col min="9" max="16384" width="8.88671875" style="157"/>
  </cols>
  <sheetData>
    <row r="1" spans="1:8" ht="47.25" customHeight="1" thickBot="1" x14ac:dyDescent="0.3">
      <c r="A1" s="257" t="s">
        <v>345</v>
      </c>
      <c r="B1" s="257"/>
      <c r="C1" s="257"/>
      <c r="D1" s="257"/>
    </row>
    <row r="2" spans="1:8" ht="20.399999999999999" x14ac:dyDescent="0.25">
      <c r="A2" s="242" t="s">
        <v>344</v>
      </c>
      <c r="B2" s="242" t="s">
        <v>343</v>
      </c>
      <c r="C2" s="242" t="s">
        <v>342</v>
      </c>
      <c r="D2" s="242" t="s">
        <v>341</v>
      </c>
      <c r="E2" s="242" t="s">
        <v>340</v>
      </c>
      <c r="F2" s="242" t="s">
        <v>339</v>
      </c>
      <c r="G2" s="242" t="s">
        <v>338</v>
      </c>
      <c r="H2" s="242" t="s">
        <v>337</v>
      </c>
    </row>
    <row r="3" spans="1:8" x14ac:dyDescent="0.25">
      <c r="A3" s="241">
        <v>1</v>
      </c>
      <c r="B3" s="241"/>
      <c r="C3" s="241" t="s">
        <v>265</v>
      </c>
      <c r="D3" s="241"/>
      <c r="E3" s="240">
        <v>39511</v>
      </c>
      <c r="F3" s="239">
        <v>0</v>
      </c>
      <c r="G3" s="239">
        <v>0.32</v>
      </c>
      <c r="H3" s="238" t="s">
        <v>331</v>
      </c>
    </row>
    <row r="4" spans="1:8" x14ac:dyDescent="0.25">
      <c r="A4" s="241">
        <v>1</v>
      </c>
      <c r="B4" s="241"/>
      <c r="C4" s="241" t="s">
        <v>255</v>
      </c>
      <c r="D4" s="241"/>
      <c r="E4" s="240">
        <v>39511</v>
      </c>
      <c r="F4" s="239">
        <v>0</v>
      </c>
      <c r="G4" s="239">
        <v>5.0000000000000001E-3</v>
      </c>
      <c r="H4" s="238" t="s">
        <v>331</v>
      </c>
    </row>
    <row r="5" spans="1:8" x14ac:dyDescent="0.25">
      <c r="A5" s="241">
        <v>1</v>
      </c>
      <c r="B5" s="241"/>
      <c r="C5" s="241" t="s">
        <v>248</v>
      </c>
      <c r="D5" s="241"/>
      <c r="E5" s="240">
        <v>39511</v>
      </c>
      <c r="F5" s="239">
        <v>0</v>
      </c>
      <c r="G5" s="239">
        <v>0.01</v>
      </c>
      <c r="H5" s="238" t="s">
        <v>331</v>
      </c>
    </row>
    <row r="6" spans="1:8" x14ac:dyDescent="0.25">
      <c r="A6" s="241">
        <v>1</v>
      </c>
      <c r="B6" s="241"/>
      <c r="C6" s="241" t="s">
        <v>239</v>
      </c>
      <c r="D6" s="241"/>
      <c r="E6" s="240">
        <v>39511</v>
      </c>
      <c r="F6" s="239">
        <v>0</v>
      </c>
      <c r="G6" s="239">
        <v>0.02</v>
      </c>
      <c r="H6" s="238" t="s">
        <v>331</v>
      </c>
    </row>
    <row r="7" spans="1:8" x14ac:dyDescent="0.25">
      <c r="A7" s="241">
        <v>1</v>
      </c>
      <c r="B7" s="241"/>
      <c r="C7" s="241" t="s">
        <v>232</v>
      </c>
      <c r="D7" s="241"/>
      <c r="E7" s="240">
        <v>39511</v>
      </c>
      <c r="F7" s="239">
        <v>0</v>
      </c>
      <c r="G7" s="239">
        <v>0.02</v>
      </c>
      <c r="H7" s="238" t="s">
        <v>331</v>
      </c>
    </row>
    <row r="8" spans="1:8" x14ac:dyDescent="0.25">
      <c r="A8" s="241">
        <v>1</v>
      </c>
      <c r="B8" s="241"/>
      <c r="C8" s="241" t="s">
        <v>223</v>
      </c>
      <c r="D8" s="241"/>
      <c r="E8" s="240">
        <v>39511</v>
      </c>
      <c r="F8" s="239">
        <v>0</v>
      </c>
      <c r="G8" s="239">
        <v>0.02</v>
      </c>
      <c r="H8" s="238" t="s">
        <v>331</v>
      </c>
    </row>
    <row r="9" spans="1:8" x14ac:dyDescent="0.25">
      <c r="A9" s="241">
        <v>1</v>
      </c>
      <c r="B9" s="241"/>
      <c r="C9" s="241" t="s">
        <v>215</v>
      </c>
      <c r="D9" s="241"/>
      <c r="E9" s="240">
        <v>39511</v>
      </c>
      <c r="F9" s="239">
        <v>0</v>
      </c>
      <c r="G9" s="239">
        <v>0.04</v>
      </c>
      <c r="H9" s="238" t="s">
        <v>331</v>
      </c>
    </row>
    <row r="10" spans="1:8" x14ac:dyDescent="0.25">
      <c r="A10" s="241">
        <v>1</v>
      </c>
      <c r="B10" s="241"/>
      <c r="C10" s="241" t="s">
        <v>206</v>
      </c>
      <c r="D10" s="241"/>
      <c r="E10" s="240">
        <v>39511</v>
      </c>
      <c r="F10" s="239">
        <v>0</v>
      </c>
      <c r="G10" s="239">
        <v>0.01</v>
      </c>
      <c r="H10" s="238" t="s">
        <v>331</v>
      </c>
    </row>
    <row r="11" spans="1:8" x14ac:dyDescent="0.25">
      <c r="A11" s="241">
        <v>1</v>
      </c>
      <c r="B11" s="241"/>
      <c r="C11" s="241" t="s">
        <v>336</v>
      </c>
      <c r="D11" s="241"/>
      <c r="E11" s="240">
        <v>39511</v>
      </c>
      <c r="F11" s="239">
        <v>0</v>
      </c>
      <c r="G11" s="239">
        <v>0.04</v>
      </c>
      <c r="H11" s="238" t="s">
        <v>331</v>
      </c>
    </row>
    <row r="12" spans="1:8" x14ac:dyDescent="0.25">
      <c r="A12" s="241">
        <v>1</v>
      </c>
      <c r="B12" s="241"/>
      <c r="C12" s="241" t="s">
        <v>335</v>
      </c>
      <c r="D12" s="241"/>
      <c r="E12" s="240">
        <v>39511</v>
      </c>
      <c r="F12" s="239">
        <v>0</v>
      </c>
      <c r="G12" s="239">
        <v>5.0000000000000001E-3</v>
      </c>
      <c r="H12" s="238" t="s">
        <v>331</v>
      </c>
    </row>
    <row r="13" spans="1:8" x14ac:dyDescent="0.25">
      <c r="A13" s="241">
        <v>1</v>
      </c>
      <c r="B13" s="241"/>
      <c r="C13" s="241" t="s">
        <v>334</v>
      </c>
      <c r="D13" s="241"/>
      <c r="E13" s="240">
        <v>39511</v>
      </c>
      <c r="F13" s="239">
        <v>0</v>
      </c>
      <c r="G13" s="239">
        <v>0.01</v>
      </c>
      <c r="H13" s="238" t="s">
        <v>331</v>
      </c>
    </row>
    <row r="14" spans="1:8" x14ac:dyDescent="0.25">
      <c r="A14" s="241">
        <v>1</v>
      </c>
      <c r="B14" s="241"/>
      <c r="C14" s="241" t="s">
        <v>333</v>
      </c>
      <c r="D14" s="241"/>
      <c r="E14" s="240">
        <v>39511</v>
      </c>
      <c r="F14" s="239">
        <v>0</v>
      </c>
      <c r="G14" s="239">
        <v>0.02</v>
      </c>
      <c r="H14" s="238" t="s">
        <v>331</v>
      </c>
    </row>
    <row r="15" spans="1:8" x14ac:dyDescent="0.25">
      <c r="A15" s="241">
        <v>1</v>
      </c>
      <c r="B15" s="241"/>
      <c r="C15" s="241" t="s">
        <v>332</v>
      </c>
      <c r="D15" s="241"/>
      <c r="E15" s="240">
        <v>39511</v>
      </c>
      <c r="F15" s="239">
        <v>0</v>
      </c>
      <c r="G15" s="239">
        <v>0.04</v>
      </c>
      <c r="H15" s="238" t="s">
        <v>331</v>
      </c>
    </row>
    <row r="22" spans="8:11" x14ac:dyDescent="0.25">
      <c r="H22" s="237"/>
      <c r="I22" s="237"/>
      <c r="J22" s="237"/>
      <c r="K22" s="237"/>
    </row>
    <row r="23" spans="8:11" x14ac:dyDescent="0.25">
      <c r="H23" s="237"/>
      <c r="I23" s="237"/>
      <c r="J23" s="237"/>
      <c r="K23" s="237"/>
    </row>
    <row r="24" spans="8:11" x14ac:dyDescent="0.25">
      <c r="H24" s="237"/>
      <c r="I24" s="237"/>
      <c r="J24" s="237"/>
      <c r="K24" s="237"/>
    </row>
    <row r="25" spans="8:11" x14ac:dyDescent="0.25">
      <c r="H25" s="237"/>
      <c r="I25" s="237"/>
      <c r="J25" s="237"/>
      <c r="K25" s="237"/>
    </row>
    <row r="26" spans="8:11" x14ac:dyDescent="0.25">
      <c r="H26" s="237"/>
      <c r="I26" s="237"/>
      <c r="J26" s="237"/>
      <c r="K26" s="237"/>
    </row>
    <row r="27" spans="8:11" x14ac:dyDescent="0.25">
      <c r="H27" s="237"/>
      <c r="I27" s="237"/>
      <c r="J27" s="237"/>
      <c r="K27" s="237"/>
    </row>
    <row r="28" spans="8:11" x14ac:dyDescent="0.25">
      <c r="H28" s="237"/>
      <c r="I28" s="237"/>
      <c r="J28" s="237"/>
      <c r="K28" s="237"/>
    </row>
    <row r="29" spans="8:11" x14ac:dyDescent="0.25">
      <c r="H29" s="237"/>
      <c r="I29" s="237"/>
      <c r="J29" s="237"/>
      <c r="K29" s="237"/>
    </row>
    <row r="30" spans="8:11" x14ac:dyDescent="0.25">
      <c r="H30" s="237"/>
      <c r="I30" s="237"/>
      <c r="J30" s="237"/>
      <c r="K30" s="237"/>
    </row>
  </sheetData>
  <mergeCells count="1">
    <mergeCell ref="A1:D1"/>
  </mergeCells>
  <conditionalFormatting sqref="F3:G15">
    <cfRule type="cellIs" dxfId="2" priority="1" stopIfTrue="1" operator="between">
      <formula>0.005</formula>
      <formula>0.04</formula>
    </cfRule>
    <cfRule type="cellIs" dxfId="1" priority="2" stopIfTrue="1" operator="between">
      <formula>0.05</formula>
      <formula>0.17</formula>
    </cfRule>
    <cfRule type="cellIs" dxfId="0" priority="3" stopIfTrue="1" operator="between">
      <formula>0.18</formula>
      <formula>0.72</formula>
    </cfRule>
  </conditionalFormatting>
  <pageMargins left="0.75" right="0.75" top="1" bottom="1" header="0.49212598499999999" footer="0.49212598499999999"/>
  <headerFooter alignWithMargins="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D33CEB-946D-48BD-A1E1-1D117A8FD651}">
  <sheetPr codeName="Plan6"/>
  <dimension ref="A1:F35"/>
  <sheetViews>
    <sheetView showGridLines="0" zoomScale="120" zoomScaleNormal="120" workbookViewId="0">
      <selection activeCell="S12" sqref="S12"/>
    </sheetView>
  </sheetViews>
  <sheetFormatPr defaultRowHeight="13.2" x14ac:dyDescent="0.25"/>
  <cols>
    <col min="1" max="1" width="42.88671875" style="118" bestFit="1" customWidth="1"/>
    <col min="2" max="2" width="9.33203125" style="244" customWidth="1"/>
    <col min="3" max="3" width="49.33203125" style="118" bestFit="1" customWidth="1"/>
    <col min="4" max="4" width="11.5546875" style="244" customWidth="1"/>
    <col min="5" max="5" width="15.33203125" style="244" customWidth="1"/>
    <col min="6" max="6" width="23.109375" style="243" customWidth="1"/>
    <col min="7" max="16384" width="8.88671875" style="118"/>
  </cols>
  <sheetData>
    <row r="1" spans="1:6" s="243" customFormat="1" ht="15.6" x14ac:dyDescent="0.3">
      <c r="A1" s="256" t="s">
        <v>310</v>
      </c>
      <c r="B1" s="254" t="s">
        <v>363</v>
      </c>
      <c r="C1" s="254" t="s">
        <v>362</v>
      </c>
      <c r="D1" s="254" t="s">
        <v>361</v>
      </c>
      <c r="E1" s="255" t="s">
        <v>360</v>
      </c>
      <c r="F1" s="254" t="s">
        <v>286</v>
      </c>
    </row>
    <row r="2" spans="1:6" ht="15" x14ac:dyDescent="0.25">
      <c r="A2" s="252" t="s">
        <v>359</v>
      </c>
      <c r="B2" s="250">
        <v>1.05</v>
      </c>
      <c r="C2" s="251" t="s">
        <v>355</v>
      </c>
      <c r="D2" s="250">
        <v>2.0499999999999998</v>
      </c>
      <c r="E2" s="250">
        <f>B2*D2</f>
        <v>2.1524999999999999</v>
      </c>
      <c r="F2" s="249" t="s">
        <v>301</v>
      </c>
    </row>
    <row r="3" spans="1:6" ht="15" x14ac:dyDescent="0.25">
      <c r="A3" s="252" t="s">
        <v>359</v>
      </c>
      <c r="B3" s="250">
        <v>1.05</v>
      </c>
      <c r="C3" s="251" t="s">
        <v>354</v>
      </c>
      <c r="D3" s="250">
        <v>2.1</v>
      </c>
      <c r="E3" s="250">
        <f>B3*D3</f>
        <v>2.2050000000000001</v>
      </c>
      <c r="F3" s="249" t="s">
        <v>349</v>
      </c>
    </row>
    <row r="4" spans="1:6" ht="15" x14ac:dyDescent="0.25">
      <c r="A4" s="252" t="s">
        <v>359</v>
      </c>
      <c r="B4" s="250">
        <v>1.05</v>
      </c>
      <c r="C4" s="251" t="s">
        <v>353</v>
      </c>
      <c r="D4" s="250">
        <v>2.2000000000000002</v>
      </c>
      <c r="E4" s="250">
        <f>B4*D4</f>
        <v>2.3100000000000005</v>
      </c>
      <c r="F4" s="249" t="s">
        <v>349</v>
      </c>
    </row>
    <row r="5" spans="1:6" ht="15" x14ac:dyDescent="0.25">
      <c r="A5" s="252" t="s">
        <v>359</v>
      </c>
      <c r="B5" s="250">
        <v>1.05</v>
      </c>
      <c r="C5" s="251" t="s">
        <v>352</v>
      </c>
      <c r="D5" s="250">
        <v>2.4</v>
      </c>
      <c r="E5" s="250">
        <f>B5*D5</f>
        <v>2.52</v>
      </c>
      <c r="F5" s="249" t="s">
        <v>348</v>
      </c>
    </row>
    <row r="6" spans="1:6" ht="15" x14ac:dyDescent="0.25">
      <c r="A6" s="252" t="s">
        <v>359</v>
      </c>
      <c r="B6" s="250">
        <v>1.05</v>
      </c>
      <c r="C6" s="251" t="s">
        <v>350</v>
      </c>
      <c r="D6" s="250">
        <v>2.8</v>
      </c>
      <c r="E6" s="250">
        <f>B6*D6</f>
        <v>2.94</v>
      </c>
      <c r="F6" s="249" t="s">
        <v>347</v>
      </c>
    </row>
    <row r="7" spans="1:6" ht="15" x14ac:dyDescent="0.25">
      <c r="A7" s="252"/>
      <c r="B7" s="253"/>
      <c r="C7" s="251"/>
      <c r="D7" s="253"/>
      <c r="E7" s="250"/>
      <c r="F7" s="250"/>
    </row>
    <row r="8" spans="1:6" ht="15" x14ac:dyDescent="0.25">
      <c r="A8" s="252" t="s">
        <v>358</v>
      </c>
      <c r="B8" s="250">
        <v>1.1000000000000001</v>
      </c>
      <c r="C8" s="251" t="s">
        <v>355</v>
      </c>
      <c r="D8" s="250">
        <v>2.0499999999999998</v>
      </c>
      <c r="E8" s="250">
        <f>B8*D8</f>
        <v>2.2549999999999999</v>
      </c>
      <c r="F8" s="249" t="s">
        <v>349</v>
      </c>
    </row>
    <row r="9" spans="1:6" ht="15" x14ac:dyDescent="0.25">
      <c r="A9" s="252" t="s">
        <v>358</v>
      </c>
      <c r="B9" s="250">
        <v>1.1000000000000001</v>
      </c>
      <c r="C9" s="251" t="s">
        <v>354</v>
      </c>
      <c r="D9" s="250">
        <v>2.1</v>
      </c>
      <c r="E9" s="250">
        <f>B9*D9</f>
        <v>2.3100000000000005</v>
      </c>
      <c r="F9" s="249" t="s">
        <v>349</v>
      </c>
    </row>
    <row r="10" spans="1:6" ht="15" x14ac:dyDescent="0.25">
      <c r="A10" s="252" t="s">
        <v>358</v>
      </c>
      <c r="B10" s="250">
        <v>1.1000000000000001</v>
      </c>
      <c r="C10" s="251" t="s">
        <v>353</v>
      </c>
      <c r="D10" s="250">
        <v>2.2000000000000002</v>
      </c>
      <c r="E10" s="250">
        <f>B10*D10</f>
        <v>2.4200000000000004</v>
      </c>
      <c r="F10" s="249" t="s">
        <v>348</v>
      </c>
    </row>
    <row r="11" spans="1:6" ht="15" x14ac:dyDescent="0.25">
      <c r="A11" s="252" t="s">
        <v>358</v>
      </c>
      <c r="B11" s="250">
        <v>1.1000000000000001</v>
      </c>
      <c r="C11" s="251" t="s">
        <v>352</v>
      </c>
      <c r="D11" s="250">
        <v>2.4</v>
      </c>
      <c r="E11" s="250">
        <f>B11*D11</f>
        <v>2.64</v>
      </c>
      <c r="F11" s="249" t="s">
        <v>347</v>
      </c>
    </row>
    <row r="12" spans="1:6" ht="15" x14ac:dyDescent="0.25">
      <c r="A12" s="252" t="s">
        <v>358</v>
      </c>
      <c r="B12" s="250">
        <v>1.1000000000000001</v>
      </c>
      <c r="C12" s="251" t="s">
        <v>350</v>
      </c>
      <c r="D12" s="250">
        <v>2.8</v>
      </c>
      <c r="E12" s="250">
        <f>B12*D12</f>
        <v>3.08</v>
      </c>
      <c r="F12" s="249" t="s">
        <v>347</v>
      </c>
    </row>
    <row r="13" spans="1:6" ht="15" x14ac:dyDescent="0.25">
      <c r="A13" s="252"/>
      <c r="B13" s="253"/>
      <c r="C13" s="251"/>
      <c r="D13" s="253"/>
      <c r="E13" s="250"/>
      <c r="F13" s="250"/>
    </row>
    <row r="14" spans="1:6" ht="15" x14ac:dyDescent="0.25">
      <c r="A14" s="252" t="s">
        <v>357</v>
      </c>
      <c r="B14" s="250">
        <v>1.2</v>
      </c>
      <c r="C14" s="251" t="s">
        <v>355</v>
      </c>
      <c r="D14" s="250">
        <v>2.0499999999999998</v>
      </c>
      <c r="E14" s="250">
        <f>B14*D14</f>
        <v>2.4599999999999995</v>
      </c>
      <c r="F14" s="249" t="s">
        <v>348</v>
      </c>
    </row>
    <row r="15" spans="1:6" ht="15" x14ac:dyDescent="0.25">
      <c r="A15" s="252" t="s">
        <v>357</v>
      </c>
      <c r="B15" s="250">
        <v>1.2</v>
      </c>
      <c r="C15" s="251" t="s">
        <v>354</v>
      </c>
      <c r="D15" s="250">
        <v>2.1</v>
      </c>
      <c r="E15" s="250">
        <f>B15*D15</f>
        <v>2.52</v>
      </c>
      <c r="F15" s="249" t="s">
        <v>348</v>
      </c>
    </row>
    <row r="16" spans="1:6" ht="15" x14ac:dyDescent="0.25">
      <c r="A16" s="252" t="s">
        <v>357</v>
      </c>
      <c r="B16" s="250">
        <v>1.2</v>
      </c>
      <c r="C16" s="251" t="s">
        <v>353</v>
      </c>
      <c r="D16" s="250">
        <v>2.2000000000000002</v>
      </c>
      <c r="E16" s="250">
        <f>B16*D16</f>
        <v>2.64</v>
      </c>
      <c r="F16" s="249" t="s">
        <v>347</v>
      </c>
    </row>
    <row r="17" spans="1:6" ht="15" x14ac:dyDescent="0.25">
      <c r="A17" s="252" t="s">
        <v>357</v>
      </c>
      <c r="B17" s="250">
        <v>1.2</v>
      </c>
      <c r="C17" s="251" t="s">
        <v>352</v>
      </c>
      <c r="D17" s="250">
        <v>2.4</v>
      </c>
      <c r="E17" s="250">
        <f>B17*D17</f>
        <v>2.88</v>
      </c>
      <c r="F17" s="249" t="s">
        <v>347</v>
      </c>
    </row>
    <row r="18" spans="1:6" ht="15" x14ac:dyDescent="0.25">
      <c r="A18" s="252" t="s">
        <v>357</v>
      </c>
      <c r="B18" s="250">
        <v>1.2</v>
      </c>
      <c r="C18" s="251" t="s">
        <v>350</v>
      </c>
      <c r="D18" s="250">
        <v>2.8</v>
      </c>
      <c r="E18" s="250">
        <f>B18*D18</f>
        <v>3.36</v>
      </c>
      <c r="F18" s="249" t="s">
        <v>346</v>
      </c>
    </row>
    <row r="19" spans="1:6" ht="15" x14ac:dyDescent="0.25">
      <c r="A19" s="252"/>
      <c r="B19" s="253"/>
      <c r="C19" s="251"/>
      <c r="D19" s="253"/>
      <c r="E19" s="250"/>
      <c r="F19" s="250"/>
    </row>
    <row r="20" spans="1:6" ht="15" x14ac:dyDescent="0.25">
      <c r="A20" s="252" t="s">
        <v>356</v>
      </c>
      <c r="B20" s="250">
        <v>1.4</v>
      </c>
      <c r="C20" s="251" t="s">
        <v>355</v>
      </c>
      <c r="D20" s="250">
        <v>2.0499999999999998</v>
      </c>
      <c r="E20" s="250">
        <f>B20*D20</f>
        <v>2.8699999999999997</v>
      </c>
      <c r="F20" s="249" t="s">
        <v>348</v>
      </c>
    </row>
    <row r="21" spans="1:6" ht="15" x14ac:dyDescent="0.25">
      <c r="A21" s="252" t="s">
        <v>356</v>
      </c>
      <c r="B21" s="250">
        <v>1.4</v>
      </c>
      <c r="C21" s="251" t="s">
        <v>354</v>
      </c>
      <c r="D21" s="250">
        <v>2.1</v>
      </c>
      <c r="E21" s="250">
        <f>B21*D21</f>
        <v>2.94</v>
      </c>
      <c r="F21" s="249" t="s">
        <v>348</v>
      </c>
    </row>
    <row r="22" spans="1:6" ht="15" x14ac:dyDescent="0.25">
      <c r="A22" s="252" t="s">
        <v>356</v>
      </c>
      <c r="B22" s="250">
        <v>1.4</v>
      </c>
      <c r="C22" s="251" t="s">
        <v>353</v>
      </c>
      <c r="D22" s="250">
        <v>2.2000000000000002</v>
      </c>
      <c r="E22" s="250">
        <f>B22*D22</f>
        <v>3.08</v>
      </c>
      <c r="F22" s="249" t="s">
        <v>347</v>
      </c>
    </row>
    <row r="23" spans="1:6" ht="15" x14ac:dyDescent="0.25">
      <c r="A23" s="252" t="s">
        <v>356</v>
      </c>
      <c r="B23" s="250">
        <v>1.4</v>
      </c>
      <c r="C23" s="251" t="s">
        <v>352</v>
      </c>
      <c r="D23" s="250">
        <v>2.4</v>
      </c>
      <c r="E23" s="250">
        <f>B23*D23</f>
        <v>3.36</v>
      </c>
      <c r="F23" s="249" t="s">
        <v>346</v>
      </c>
    </row>
    <row r="24" spans="1:6" ht="15" x14ac:dyDescent="0.25">
      <c r="A24" s="252" t="s">
        <v>356</v>
      </c>
      <c r="B24" s="250">
        <v>1.4</v>
      </c>
      <c r="C24" s="251" t="s">
        <v>350</v>
      </c>
      <c r="D24" s="250">
        <v>2.8</v>
      </c>
      <c r="E24" s="250">
        <f>B24*D24</f>
        <v>3.9199999999999995</v>
      </c>
      <c r="F24" s="249" t="s">
        <v>346</v>
      </c>
    </row>
    <row r="25" spans="1:6" ht="15" x14ac:dyDescent="0.25">
      <c r="A25" s="252"/>
      <c r="B25" s="253"/>
      <c r="C25" s="251"/>
      <c r="D25" s="253"/>
      <c r="E25" s="250"/>
      <c r="F25" s="250"/>
    </row>
    <row r="26" spans="1:6" ht="15" x14ac:dyDescent="0.25">
      <c r="A26" s="252" t="s">
        <v>351</v>
      </c>
      <c r="B26" s="250">
        <v>1.8</v>
      </c>
      <c r="C26" s="251" t="s">
        <v>355</v>
      </c>
      <c r="D26" s="250">
        <v>2.0499999999999998</v>
      </c>
      <c r="E26" s="250">
        <f>B26*D26</f>
        <v>3.69</v>
      </c>
      <c r="F26" s="249" t="s">
        <v>347</v>
      </c>
    </row>
    <row r="27" spans="1:6" ht="15" x14ac:dyDescent="0.25">
      <c r="A27" s="252" t="s">
        <v>351</v>
      </c>
      <c r="B27" s="250">
        <v>1.8</v>
      </c>
      <c r="C27" s="251" t="s">
        <v>354</v>
      </c>
      <c r="D27" s="250">
        <v>2.1</v>
      </c>
      <c r="E27" s="250">
        <f>B27*D27</f>
        <v>3.7800000000000002</v>
      </c>
      <c r="F27" s="249" t="s">
        <v>347</v>
      </c>
    </row>
    <row r="28" spans="1:6" ht="15" x14ac:dyDescent="0.25">
      <c r="A28" s="252" t="s">
        <v>351</v>
      </c>
      <c r="B28" s="250">
        <v>1.8</v>
      </c>
      <c r="C28" s="251" t="s">
        <v>353</v>
      </c>
      <c r="D28" s="250">
        <v>2.2000000000000002</v>
      </c>
      <c r="E28" s="250">
        <f>B28*D28</f>
        <v>3.9600000000000004</v>
      </c>
      <c r="F28" s="249" t="s">
        <v>346</v>
      </c>
    </row>
    <row r="29" spans="1:6" ht="15" x14ac:dyDescent="0.25">
      <c r="A29" s="252" t="s">
        <v>351</v>
      </c>
      <c r="B29" s="250">
        <v>1.8</v>
      </c>
      <c r="C29" s="251" t="s">
        <v>352</v>
      </c>
      <c r="D29" s="250">
        <v>2.4</v>
      </c>
      <c r="E29" s="250">
        <f>B29*D29</f>
        <v>4.32</v>
      </c>
      <c r="F29" s="249" t="s">
        <v>346</v>
      </c>
    </row>
    <row r="30" spans="1:6" ht="15.6" thickBot="1" x14ac:dyDescent="0.3">
      <c r="A30" s="248" t="s">
        <v>351</v>
      </c>
      <c r="B30" s="246">
        <v>1.8</v>
      </c>
      <c r="C30" s="247" t="s">
        <v>350</v>
      </c>
      <c r="D30" s="246">
        <v>2.8</v>
      </c>
      <c r="E30" s="246">
        <f>B30*D30</f>
        <v>5.04</v>
      </c>
      <c r="F30" s="245" t="s">
        <v>346</v>
      </c>
    </row>
    <row r="31" spans="1:6" x14ac:dyDescent="0.25">
      <c r="A31" s="202" t="s">
        <v>301</v>
      </c>
    </row>
    <row r="32" spans="1:6" x14ac:dyDescent="0.25">
      <c r="A32" s="202" t="s">
        <v>349</v>
      </c>
    </row>
    <row r="33" spans="1:1" x14ac:dyDescent="0.25">
      <c r="A33" s="202" t="s">
        <v>348</v>
      </c>
    </row>
    <row r="34" spans="1:1" x14ac:dyDescent="0.25">
      <c r="A34" s="202" t="s">
        <v>347</v>
      </c>
    </row>
    <row r="35" spans="1:1" x14ac:dyDescent="0.25">
      <c r="A35" s="202" t="s">
        <v>346</v>
      </c>
    </row>
  </sheetData>
  <dataValidations count="1">
    <dataValidation type="list" allowBlank="1" showInputMessage="1" showErrorMessage="1" sqref="F2:F6 JB2:JB6 SX2:SX6 ACT2:ACT6 AMP2:AMP6 AWL2:AWL6 BGH2:BGH6 BQD2:BQD6 BZZ2:BZZ6 CJV2:CJV6 CTR2:CTR6 DDN2:DDN6 DNJ2:DNJ6 DXF2:DXF6 EHB2:EHB6 EQX2:EQX6 FAT2:FAT6 FKP2:FKP6 FUL2:FUL6 GEH2:GEH6 GOD2:GOD6 GXZ2:GXZ6 HHV2:HHV6 HRR2:HRR6 IBN2:IBN6 ILJ2:ILJ6 IVF2:IVF6 JFB2:JFB6 JOX2:JOX6 JYT2:JYT6 KIP2:KIP6 KSL2:KSL6 LCH2:LCH6 LMD2:LMD6 LVZ2:LVZ6 MFV2:MFV6 MPR2:MPR6 MZN2:MZN6 NJJ2:NJJ6 NTF2:NTF6 ODB2:ODB6 OMX2:OMX6 OWT2:OWT6 PGP2:PGP6 PQL2:PQL6 QAH2:QAH6 QKD2:QKD6 QTZ2:QTZ6 RDV2:RDV6 RNR2:RNR6 RXN2:RXN6 SHJ2:SHJ6 SRF2:SRF6 TBB2:TBB6 TKX2:TKX6 TUT2:TUT6 UEP2:UEP6 UOL2:UOL6 UYH2:UYH6 VID2:VID6 VRZ2:VRZ6 WBV2:WBV6 WLR2:WLR6 WVN2:WVN6 F65538:F65542 JB65538:JB65542 SX65538:SX65542 ACT65538:ACT65542 AMP65538:AMP65542 AWL65538:AWL65542 BGH65538:BGH65542 BQD65538:BQD65542 BZZ65538:BZZ65542 CJV65538:CJV65542 CTR65538:CTR65542 DDN65538:DDN65542 DNJ65538:DNJ65542 DXF65538:DXF65542 EHB65538:EHB65542 EQX65538:EQX65542 FAT65538:FAT65542 FKP65538:FKP65542 FUL65538:FUL65542 GEH65538:GEH65542 GOD65538:GOD65542 GXZ65538:GXZ65542 HHV65538:HHV65542 HRR65538:HRR65542 IBN65538:IBN65542 ILJ65538:ILJ65542 IVF65538:IVF65542 JFB65538:JFB65542 JOX65538:JOX65542 JYT65538:JYT65542 KIP65538:KIP65542 KSL65538:KSL65542 LCH65538:LCH65542 LMD65538:LMD65542 LVZ65538:LVZ65542 MFV65538:MFV65542 MPR65538:MPR65542 MZN65538:MZN65542 NJJ65538:NJJ65542 NTF65538:NTF65542 ODB65538:ODB65542 OMX65538:OMX65542 OWT65538:OWT65542 PGP65538:PGP65542 PQL65538:PQL65542 QAH65538:QAH65542 QKD65538:QKD65542 QTZ65538:QTZ65542 RDV65538:RDV65542 RNR65538:RNR65542 RXN65538:RXN65542 SHJ65538:SHJ65542 SRF65538:SRF65542 TBB65538:TBB65542 TKX65538:TKX65542 TUT65538:TUT65542 UEP65538:UEP65542 UOL65538:UOL65542 UYH65538:UYH65542 VID65538:VID65542 VRZ65538:VRZ65542 WBV65538:WBV65542 WLR65538:WLR65542 WVN65538:WVN65542 F131074:F131078 JB131074:JB131078 SX131074:SX131078 ACT131074:ACT131078 AMP131074:AMP131078 AWL131074:AWL131078 BGH131074:BGH131078 BQD131074:BQD131078 BZZ131074:BZZ131078 CJV131074:CJV131078 CTR131074:CTR131078 DDN131074:DDN131078 DNJ131074:DNJ131078 DXF131074:DXF131078 EHB131074:EHB131078 EQX131074:EQX131078 FAT131074:FAT131078 FKP131074:FKP131078 FUL131074:FUL131078 GEH131074:GEH131078 GOD131074:GOD131078 GXZ131074:GXZ131078 HHV131074:HHV131078 HRR131074:HRR131078 IBN131074:IBN131078 ILJ131074:ILJ131078 IVF131074:IVF131078 JFB131074:JFB131078 JOX131074:JOX131078 JYT131074:JYT131078 KIP131074:KIP131078 KSL131074:KSL131078 LCH131074:LCH131078 LMD131074:LMD131078 LVZ131074:LVZ131078 MFV131074:MFV131078 MPR131074:MPR131078 MZN131074:MZN131078 NJJ131074:NJJ131078 NTF131074:NTF131078 ODB131074:ODB131078 OMX131074:OMX131078 OWT131074:OWT131078 PGP131074:PGP131078 PQL131074:PQL131078 QAH131074:QAH131078 QKD131074:QKD131078 QTZ131074:QTZ131078 RDV131074:RDV131078 RNR131074:RNR131078 RXN131074:RXN131078 SHJ131074:SHJ131078 SRF131074:SRF131078 TBB131074:TBB131078 TKX131074:TKX131078 TUT131074:TUT131078 UEP131074:UEP131078 UOL131074:UOL131078 UYH131074:UYH131078 VID131074:VID131078 VRZ131074:VRZ131078 WBV131074:WBV131078 WLR131074:WLR131078 WVN131074:WVN131078 F196610:F196614 JB196610:JB196614 SX196610:SX196614 ACT196610:ACT196614 AMP196610:AMP196614 AWL196610:AWL196614 BGH196610:BGH196614 BQD196610:BQD196614 BZZ196610:BZZ196614 CJV196610:CJV196614 CTR196610:CTR196614 DDN196610:DDN196614 DNJ196610:DNJ196614 DXF196610:DXF196614 EHB196610:EHB196614 EQX196610:EQX196614 FAT196610:FAT196614 FKP196610:FKP196614 FUL196610:FUL196614 GEH196610:GEH196614 GOD196610:GOD196614 GXZ196610:GXZ196614 HHV196610:HHV196614 HRR196610:HRR196614 IBN196610:IBN196614 ILJ196610:ILJ196614 IVF196610:IVF196614 JFB196610:JFB196614 JOX196610:JOX196614 JYT196610:JYT196614 KIP196610:KIP196614 KSL196610:KSL196614 LCH196610:LCH196614 LMD196610:LMD196614 LVZ196610:LVZ196614 MFV196610:MFV196614 MPR196610:MPR196614 MZN196610:MZN196614 NJJ196610:NJJ196614 NTF196610:NTF196614 ODB196610:ODB196614 OMX196610:OMX196614 OWT196610:OWT196614 PGP196610:PGP196614 PQL196610:PQL196614 QAH196610:QAH196614 QKD196610:QKD196614 QTZ196610:QTZ196614 RDV196610:RDV196614 RNR196610:RNR196614 RXN196610:RXN196614 SHJ196610:SHJ196614 SRF196610:SRF196614 TBB196610:TBB196614 TKX196610:TKX196614 TUT196610:TUT196614 UEP196610:UEP196614 UOL196610:UOL196614 UYH196610:UYH196614 VID196610:VID196614 VRZ196610:VRZ196614 WBV196610:WBV196614 WLR196610:WLR196614 WVN196610:WVN196614 F262146:F262150 JB262146:JB262150 SX262146:SX262150 ACT262146:ACT262150 AMP262146:AMP262150 AWL262146:AWL262150 BGH262146:BGH262150 BQD262146:BQD262150 BZZ262146:BZZ262150 CJV262146:CJV262150 CTR262146:CTR262150 DDN262146:DDN262150 DNJ262146:DNJ262150 DXF262146:DXF262150 EHB262146:EHB262150 EQX262146:EQX262150 FAT262146:FAT262150 FKP262146:FKP262150 FUL262146:FUL262150 GEH262146:GEH262150 GOD262146:GOD262150 GXZ262146:GXZ262150 HHV262146:HHV262150 HRR262146:HRR262150 IBN262146:IBN262150 ILJ262146:ILJ262150 IVF262146:IVF262150 JFB262146:JFB262150 JOX262146:JOX262150 JYT262146:JYT262150 KIP262146:KIP262150 KSL262146:KSL262150 LCH262146:LCH262150 LMD262146:LMD262150 LVZ262146:LVZ262150 MFV262146:MFV262150 MPR262146:MPR262150 MZN262146:MZN262150 NJJ262146:NJJ262150 NTF262146:NTF262150 ODB262146:ODB262150 OMX262146:OMX262150 OWT262146:OWT262150 PGP262146:PGP262150 PQL262146:PQL262150 QAH262146:QAH262150 QKD262146:QKD262150 QTZ262146:QTZ262150 RDV262146:RDV262150 RNR262146:RNR262150 RXN262146:RXN262150 SHJ262146:SHJ262150 SRF262146:SRF262150 TBB262146:TBB262150 TKX262146:TKX262150 TUT262146:TUT262150 UEP262146:UEP262150 UOL262146:UOL262150 UYH262146:UYH262150 VID262146:VID262150 VRZ262146:VRZ262150 WBV262146:WBV262150 WLR262146:WLR262150 WVN262146:WVN262150 F327682:F327686 JB327682:JB327686 SX327682:SX327686 ACT327682:ACT327686 AMP327682:AMP327686 AWL327682:AWL327686 BGH327682:BGH327686 BQD327682:BQD327686 BZZ327682:BZZ327686 CJV327682:CJV327686 CTR327682:CTR327686 DDN327682:DDN327686 DNJ327682:DNJ327686 DXF327682:DXF327686 EHB327682:EHB327686 EQX327682:EQX327686 FAT327682:FAT327686 FKP327682:FKP327686 FUL327682:FUL327686 GEH327682:GEH327686 GOD327682:GOD327686 GXZ327682:GXZ327686 HHV327682:HHV327686 HRR327682:HRR327686 IBN327682:IBN327686 ILJ327682:ILJ327686 IVF327682:IVF327686 JFB327682:JFB327686 JOX327682:JOX327686 JYT327682:JYT327686 KIP327682:KIP327686 KSL327682:KSL327686 LCH327682:LCH327686 LMD327682:LMD327686 LVZ327682:LVZ327686 MFV327682:MFV327686 MPR327682:MPR327686 MZN327682:MZN327686 NJJ327682:NJJ327686 NTF327682:NTF327686 ODB327682:ODB327686 OMX327682:OMX327686 OWT327682:OWT327686 PGP327682:PGP327686 PQL327682:PQL327686 QAH327682:QAH327686 QKD327682:QKD327686 QTZ327682:QTZ327686 RDV327682:RDV327686 RNR327682:RNR327686 RXN327682:RXN327686 SHJ327682:SHJ327686 SRF327682:SRF327686 TBB327682:TBB327686 TKX327682:TKX327686 TUT327682:TUT327686 UEP327682:UEP327686 UOL327682:UOL327686 UYH327682:UYH327686 VID327682:VID327686 VRZ327682:VRZ327686 WBV327682:WBV327686 WLR327682:WLR327686 WVN327682:WVN327686 F393218:F393222 JB393218:JB393222 SX393218:SX393222 ACT393218:ACT393222 AMP393218:AMP393222 AWL393218:AWL393222 BGH393218:BGH393222 BQD393218:BQD393222 BZZ393218:BZZ393222 CJV393218:CJV393222 CTR393218:CTR393222 DDN393218:DDN393222 DNJ393218:DNJ393222 DXF393218:DXF393222 EHB393218:EHB393222 EQX393218:EQX393222 FAT393218:FAT393222 FKP393218:FKP393222 FUL393218:FUL393222 GEH393218:GEH393222 GOD393218:GOD393222 GXZ393218:GXZ393222 HHV393218:HHV393222 HRR393218:HRR393222 IBN393218:IBN393222 ILJ393218:ILJ393222 IVF393218:IVF393222 JFB393218:JFB393222 JOX393218:JOX393222 JYT393218:JYT393222 KIP393218:KIP393222 KSL393218:KSL393222 LCH393218:LCH393222 LMD393218:LMD393222 LVZ393218:LVZ393222 MFV393218:MFV393222 MPR393218:MPR393222 MZN393218:MZN393222 NJJ393218:NJJ393222 NTF393218:NTF393222 ODB393218:ODB393222 OMX393218:OMX393222 OWT393218:OWT393222 PGP393218:PGP393222 PQL393218:PQL393222 QAH393218:QAH393222 QKD393218:QKD393222 QTZ393218:QTZ393222 RDV393218:RDV393222 RNR393218:RNR393222 RXN393218:RXN393222 SHJ393218:SHJ393222 SRF393218:SRF393222 TBB393218:TBB393222 TKX393218:TKX393222 TUT393218:TUT393222 UEP393218:UEP393222 UOL393218:UOL393222 UYH393218:UYH393222 VID393218:VID393222 VRZ393218:VRZ393222 WBV393218:WBV393222 WLR393218:WLR393222 WVN393218:WVN393222 F458754:F458758 JB458754:JB458758 SX458754:SX458758 ACT458754:ACT458758 AMP458754:AMP458758 AWL458754:AWL458758 BGH458754:BGH458758 BQD458754:BQD458758 BZZ458754:BZZ458758 CJV458754:CJV458758 CTR458754:CTR458758 DDN458754:DDN458758 DNJ458754:DNJ458758 DXF458754:DXF458758 EHB458754:EHB458758 EQX458754:EQX458758 FAT458754:FAT458758 FKP458754:FKP458758 FUL458754:FUL458758 GEH458754:GEH458758 GOD458754:GOD458758 GXZ458754:GXZ458758 HHV458754:HHV458758 HRR458754:HRR458758 IBN458754:IBN458758 ILJ458754:ILJ458758 IVF458754:IVF458758 JFB458754:JFB458758 JOX458754:JOX458758 JYT458754:JYT458758 KIP458754:KIP458758 KSL458754:KSL458758 LCH458754:LCH458758 LMD458754:LMD458758 LVZ458754:LVZ458758 MFV458754:MFV458758 MPR458754:MPR458758 MZN458754:MZN458758 NJJ458754:NJJ458758 NTF458754:NTF458758 ODB458754:ODB458758 OMX458754:OMX458758 OWT458754:OWT458758 PGP458754:PGP458758 PQL458754:PQL458758 QAH458754:QAH458758 QKD458754:QKD458758 QTZ458754:QTZ458758 RDV458754:RDV458758 RNR458754:RNR458758 RXN458754:RXN458758 SHJ458754:SHJ458758 SRF458754:SRF458758 TBB458754:TBB458758 TKX458754:TKX458758 TUT458754:TUT458758 UEP458754:UEP458758 UOL458754:UOL458758 UYH458754:UYH458758 VID458754:VID458758 VRZ458754:VRZ458758 WBV458754:WBV458758 WLR458754:WLR458758 WVN458754:WVN458758 F524290:F524294 JB524290:JB524294 SX524290:SX524294 ACT524290:ACT524294 AMP524290:AMP524294 AWL524290:AWL524294 BGH524290:BGH524294 BQD524290:BQD524294 BZZ524290:BZZ524294 CJV524290:CJV524294 CTR524290:CTR524294 DDN524290:DDN524294 DNJ524290:DNJ524294 DXF524290:DXF524294 EHB524290:EHB524294 EQX524290:EQX524294 FAT524290:FAT524294 FKP524290:FKP524294 FUL524290:FUL524294 GEH524290:GEH524294 GOD524290:GOD524294 GXZ524290:GXZ524294 HHV524290:HHV524294 HRR524290:HRR524294 IBN524290:IBN524294 ILJ524290:ILJ524294 IVF524290:IVF524294 JFB524290:JFB524294 JOX524290:JOX524294 JYT524290:JYT524294 KIP524290:KIP524294 KSL524290:KSL524294 LCH524290:LCH524294 LMD524290:LMD524294 LVZ524290:LVZ524294 MFV524290:MFV524294 MPR524290:MPR524294 MZN524290:MZN524294 NJJ524290:NJJ524294 NTF524290:NTF524294 ODB524290:ODB524294 OMX524290:OMX524294 OWT524290:OWT524294 PGP524290:PGP524294 PQL524290:PQL524294 QAH524290:QAH524294 QKD524290:QKD524294 QTZ524290:QTZ524294 RDV524290:RDV524294 RNR524290:RNR524294 RXN524290:RXN524294 SHJ524290:SHJ524294 SRF524290:SRF524294 TBB524290:TBB524294 TKX524290:TKX524294 TUT524290:TUT524294 UEP524290:UEP524294 UOL524290:UOL524294 UYH524290:UYH524294 VID524290:VID524294 VRZ524290:VRZ524294 WBV524290:WBV524294 WLR524290:WLR524294 WVN524290:WVN524294 F589826:F589830 JB589826:JB589830 SX589826:SX589830 ACT589826:ACT589830 AMP589826:AMP589830 AWL589826:AWL589830 BGH589826:BGH589830 BQD589826:BQD589830 BZZ589826:BZZ589830 CJV589826:CJV589830 CTR589826:CTR589830 DDN589826:DDN589830 DNJ589826:DNJ589830 DXF589826:DXF589830 EHB589826:EHB589830 EQX589826:EQX589830 FAT589826:FAT589830 FKP589826:FKP589830 FUL589826:FUL589830 GEH589826:GEH589830 GOD589826:GOD589830 GXZ589826:GXZ589830 HHV589826:HHV589830 HRR589826:HRR589830 IBN589826:IBN589830 ILJ589826:ILJ589830 IVF589826:IVF589830 JFB589826:JFB589830 JOX589826:JOX589830 JYT589826:JYT589830 KIP589826:KIP589830 KSL589826:KSL589830 LCH589826:LCH589830 LMD589826:LMD589830 LVZ589826:LVZ589830 MFV589826:MFV589830 MPR589826:MPR589830 MZN589826:MZN589830 NJJ589826:NJJ589830 NTF589826:NTF589830 ODB589826:ODB589830 OMX589826:OMX589830 OWT589826:OWT589830 PGP589826:PGP589830 PQL589826:PQL589830 QAH589826:QAH589830 QKD589826:QKD589830 QTZ589826:QTZ589830 RDV589826:RDV589830 RNR589826:RNR589830 RXN589826:RXN589830 SHJ589826:SHJ589830 SRF589826:SRF589830 TBB589826:TBB589830 TKX589826:TKX589830 TUT589826:TUT589830 UEP589826:UEP589830 UOL589826:UOL589830 UYH589826:UYH589830 VID589826:VID589830 VRZ589826:VRZ589830 WBV589826:WBV589830 WLR589826:WLR589830 WVN589826:WVN589830 F655362:F655366 JB655362:JB655366 SX655362:SX655366 ACT655362:ACT655366 AMP655362:AMP655366 AWL655362:AWL655366 BGH655362:BGH655366 BQD655362:BQD655366 BZZ655362:BZZ655366 CJV655362:CJV655366 CTR655362:CTR655366 DDN655362:DDN655366 DNJ655362:DNJ655366 DXF655362:DXF655366 EHB655362:EHB655366 EQX655362:EQX655366 FAT655362:FAT655366 FKP655362:FKP655366 FUL655362:FUL655366 GEH655362:GEH655366 GOD655362:GOD655366 GXZ655362:GXZ655366 HHV655362:HHV655366 HRR655362:HRR655366 IBN655362:IBN655366 ILJ655362:ILJ655366 IVF655362:IVF655366 JFB655362:JFB655366 JOX655362:JOX655366 JYT655362:JYT655366 KIP655362:KIP655366 KSL655362:KSL655366 LCH655362:LCH655366 LMD655362:LMD655366 LVZ655362:LVZ655366 MFV655362:MFV655366 MPR655362:MPR655366 MZN655362:MZN655366 NJJ655362:NJJ655366 NTF655362:NTF655366 ODB655362:ODB655366 OMX655362:OMX655366 OWT655362:OWT655366 PGP655362:PGP655366 PQL655362:PQL655366 QAH655362:QAH655366 QKD655362:QKD655366 QTZ655362:QTZ655366 RDV655362:RDV655366 RNR655362:RNR655366 RXN655362:RXN655366 SHJ655362:SHJ655366 SRF655362:SRF655366 TBB655362:TBB655366 TKX655362:TKX655366 TUT655362:TUT655366 UEP655362:UEP655366 UOL655362:UOL655366 UYH655362:UYH655366 VID655362:VID655366 VRZ655362:VRZ655366 WBV655362:WBV655366 WLR655362:WLR655366 WVN655362:WVN655366 F720898:F720902 JB720898:JB720902 SX720898:SX720902 ACT720898:ACT720902 AMP720898:AMP720902 AWL720898:AWL720902 BGH720898:BGH720902 BQD720898:BQD720902 BZZ720898:BZZ720902 CJV720898:CJV720902 CTR720898:CTR720902 DDN720898:DDN720902 DNJ720898:DNJ720902 DXF720898:DXF720902 EHB720898:EHB720902 EQX720898:EQX720902 FAT720898:FAT720902 FKP720898:FKP720902 FUL720898:FUL720902 GEH720898:GEH720902 GOD720898:GOD720902 GXZ720898:GXZ720902 HHV720898:HHV720902 HRR720898:HRR720902 IBN720898:IBN720902 ILJ720898:ILJ720902 IVF720898:IVF720902 JFB720898:JFB720902 JOX720898:JOX720902 JYT720898:JYT720902 KIP720898:KIP720902 KSL720898:KSL720902 LCH720898:LCH720902 LMD720898:LMD720902 LVZ720898:LVZ720902 MFV720898:MFV720902 MPR720898:MPR720902 MZN720898:MZN720902 NJJ720898:NJJ720902 NTF720898:NTF720902 ODB720898:ODB720902 OMX720898:OMX720902 OWT720898:OWT720902 PGP720898:PGP720902 PQL720898:PQL720902 QAH720898:QAH720902 QKD720898:QKD720902 QTZ720898:QTZ720902 RDV720898:RDV720902 RNR720898:RNR720902 RXN720898:RXN720902 SHJ720898:SHJ720902 SRF720898:SRF720902 TBB720898:TBB720902 TKX720898:TKX720902 TUT720898:TUT720902 UEP720898:UEP720902 UOL720898:UOL720902 UYH720898:UYH720902 VID720898:VID720902 VRZ720898:VRZ720902 WBV720898:WBV720902 WLR720898:WLR720902 WVN720898:WVN720902 F786434:F786438 JB786434:JB786438 SX786434:SX786438 ACT786434:ACT786438 AMP786434:AMP786438 AWL786434:AWL786438 BGH786434:BGH786438 BQD786434:BQD786438 BZZ786434:BZZ786438 CJV786434:CJV786438 CTR786434:CTR786438 DDN786434:DDN786438 DNJ786434:DNJ786438 DXF786434:DXF786438 EHB786434:EHB786438 EQX786434:EQX786438 FAT786434:FAT786438 FKP786434:FKP786438 FUL786434:FUL786438 GEH786434:GEH786438 GOD786434:GOD786438 GXZ786434:GXZ786438 HHV786434:HHV786438 HRR786434:HRR786438 IBN786434:IBN786438 ILJ786434:ILJ786438 IVF786434:IVF786438 JFB786434:JFB786438 JOX786434:JOX786438 JYT786434:JYT786438 KIP786434:KIP786438 KSL786434:KSL786438 LCH786434:LCH786438 LMD786434:LMD786438 LVZ786434:LVZ786438 MFV786434:MFV786438 MPR786434:MPR786438 MZN786434:MZN786438 NJJ786434:NJJ786438 NTF786434:NTF786438 ODB786434:ODB786438 OMX786434:OMX786438 OWT786434:OWT786438 PGP786434:PGP786438 PQL786434:PQL786438 QAH786434:QAH786438 QKD786434:QKD786438 QTZ786434:QTZ786438 RDV786434:RDV786438 RNR786434:RNR786438 RXN786434:RXN786438 SHJ786434:SHJ786438 SRF786434:SRF786438 TBB786434:TBB786438 TKX786434:TKX786438 TUT786434:TUT786438 UEP786434:UEP786438 UOL786434:UOL786438 UYH786434:UYH786438 VID786434:VID786438 VRZ786434:VRZ786438 WBV786434:WBV786438 WLR786434:WLR786438 WVN786434:WVN786438 F851970:F851974 JB851970:JB851974 SX851970:SX851974 ACT851970:ACT851974 AMP851970:AMP851974 AWL851970:AWL851974 BGH851970:BGH851974 BQD851970:BQD851974 BZZ851970:BZZ851974 CJV851970:CJV851974 CTR851970:CTR851974 DDN851970:DDN851974 DNJ851970:DNJ851974 DXF851970:DXF851974 EHB851970:EHB851974 EQX851970:EQX851974 FAT851970:FAT851974 FKP851970:FKP851974 FUL851970:FUL851974 GEH851970:GEH851974 GOD851970:GOD851974 GXZ851970:GXZ851974 HHV851970:HHV851974 HRR851970:HRR851974 IBN851970:IBN851974 ILJ851970:ILJ851974 IVF851970:IVF851974 JFB851970:JFB851974 JOX851970:JOX851974 JYT851970:JYT851974 KIP851970:KIP851974 KSL851970:KSL851974 LCH851970:LCH851974 LMD851970:LMD851974 LVZ851970:LVZ851974 MFV851970:MFV851974 MPR851970:MPR851974 MZN851970:MZN851974 NJJ851970:NJJ851974 NTF851970:NTF851974 ODB851970:ODB851974 OMX851970:OMX851974 OWT851970:OWT851974 PGP851970:PGP851974 PQL851970:PQL851974 QAH851970:QAH851974 QKD851970:QKD851974 QTZ851970:QTZ851974 RDV851970:RDV851974 RNR851970:RNR851974 RXN851970:RXN851974 SHJ851970:SHJ851974 SRF851970:SRF851974 TBB851970:TBB851974 TKX851970:TKX851974 TUT851970:TUT851974 UEP851970:UEP851974 UOL851970:UOL851974 UYH851970:UYH851974 VID851970:VID851974 VRZ851970:VRZ851974 WBV851970:WBV851974 WLR851970:WLR851974 WVN851970:WVN851974 F917506:F917510 JB917506:JB917510 SX917506:SX917510 ACT917506:ACT917510 AMP917506:AMP917510 AWL917506:AWL917510 BGH917506:BGH917510 BQD917506:BQD917510 BZZ917506:BZZ917510 CJV917506:CJV917510 CTR917506:CTR917510 DDN917506:DDN917510 DNJ917506:DNJ917510 DXF917506:DXF917510 EHB917506:EHB917510 EQX917506:EQX917510 FAT917506:FAT917510 FKP917506:FKP917510 FUL917506:FUL917510 GEH917506:GEH917510 GOD917506:GOD917510 GXZ917506:GXZ917510 HHV917506:HHV917510 HRR917506:HRR917510 IBN917506:IBN917510 ILJ917506:ILJ917510 IVF917506:IVF917510 JFB917506:JFB917510 JOX917506:JOX917510 JYT917506:JYT917510 KIP917506:KIP917510 KSL917506:KSL917510 LCH917506:LCH917510 LMD917506:LMD917510 LVZ917506:LVZ917510 MFV917506:MFV917510 MPR917506:MPR917510 MZN917506:MZN917510 NJJ917506:NJJ917510 NTF917506:NTF917510 ODB917506:ODB917510 OMX917506:OMX917510 OWT917506:OWT917510 PGP917506:PGP917510 PQL917506:PQL917510 QAH917506:QAH917510 QKD917506:QKD917510 QTZ917506:QTZ917510 RDV917506:RDV917510 RNR917506:RNR917510 RXN917506:RXN917510 SHJ917506:SHJ917510 SRF917506:SRF917510 TBB917506:TBB917510 TKX917506:TKX917510 TUT917506:TUT917510 UEP917506:UEP917510 UOL917506:UOL917510 UYH917506:UYH917510 VID917506:VID917510 VRZ917506:VRZ917510 WBV917506:WBV917510 WLR917506:WLR917510 WVN917506:WVN917510 F983042:F983046 JB983042:JB983046 SX983042:SX983046 ACT983042:ACT983046 AMP983042:AMP983046 AWL983042:AWL983046 BGH983042:BGH983046 BQD983042:BQD983046 BZZ983042:BZZ983046 CJV983042:CJV983046 CTR983042:CTR983046 DDN983042:DDN983046 DNJ983042:DNJ983046 DXF983042:DXF983046 EHB983042:EHB983046 EQX983042:EQX983046 FAT983042:FAT983046 FKP983042:FKP983046 FUL983042:FUL983046 GEH983042:GEH983046 GOD983042:GOD983046 GXZ983042:GXZ983046 HHV983042:HHV983046 HRR983042:HRR983046 IBN983042:IBN983046 ILJ983042:ILJ983046 IVF983042:IVF983046 JFB983042:JFB983046 JOX983042:JOX983046 JYT983042:JYT983046 KIP983042:KIP983046 KSL983042:KSL983046 LCH983042:LCH983046 LMD983042:LMD983046 LVZ983042:LVZ983046 MFV983042:MFV983046 MPR983042:MPR983046 MZN983042:MZN983046 NJJ983042:NJJ983046 NTF983042:NTF983046 ODB983042:ODB983046 OMX983042:OMX983046 OWT983042:OWT983046 PGP983042:PGP983046 PQL983042:PQL983046 QAH983042:QAH983046 QKD983042:QKD983046 QTZ983042:QTZ983046 RDV983042:RDV983046 RNR983042:RNR983046 RXN983042:RXN983046 SHJ983042:SHJ983046 SRF983042:SRF983046 TBB983042:TBB983046 TKX983042:TKX983046 TUT983042:TUT983046 UEP983042:UEP983046 UOL983042:UOL983046 UYH983042:UYH983046 VID983042:VID983046 VRZ983042:VRZ983046 WBV983042:WBV983046 WLR983042:WLR983046 WVN983042:WVN983046 F8:F30 JB8:JB30 SX8:SX30 ACT8:ACT30 AMP8:AMP30 AWL8:AWL30 BGH8:BGH30 BQD8:BQD30 BZZ8:BZZ30 CJV8:CJV30 CTR8:CTR30 DDN8:DDN30 DNJ8:DNJ30 DXF8:DXF30 EHB8:EHB30 EQX8:EQX30 FAT8:FAT30 FKP8:FKP30 FUL8:FUL30 GEH8:GEH30 GOD8:GOD30 GXZ8:GXZ30 HHV8:HHV30 HRR8:HRR30 IBN8:IBN30 ILJ8:ILJ30 IVF8:IVF30 JFB8:JFB30 JOX8:JOX30 JYT8:JYT30 KIP8:KIP30 KSL8:KSL30 LCH8:LCH30 LMD8:LMD30 LVZ8:LVZ30 MFV8:MFV30 MPR8:MPR30 MZN8:MZN30 NJJ8:NJJ30 NTF8:NTF30 ODB8:ODB30 OMX8:OMX30 OWT8:OWT30 PGP8:PGP30 PQL8:PQL30 QAH8:QAH30 QKD8:QKD30 QTZ8:QTZ30 RDV8:RDV30 RNR8:RNR30 RXN8:RXN30 SHJ8:SHJ30 SRF8:SRF30 TBB8:TBB30 TKX8:TKX30 TUT8:TUT30 UEP8:UEP30 UOL8:UOL30 UYH8:UYH30 VID8:VID30 VRZ8:VRZ30 WBV8:WBV30 WLR8:WLR30 WVN8:WVN30 F65544:F65566 JB65544:JB65566 SX65544:SX65566 ACT65544:ACT65566 AMP65544:AMP65566 AWL65544:AWL65566 BGH65544:BGH65566 BQD65544:BQD65566 BZZ65544:BZZ65566 CJV65544:CJV65566 CTR65544:CTR65566 DDN65544:DDN65566 DNJ65544:DNJ65566 DXF65544:DXF65566 EHB65544:EHB65566 EQX65544:EQX65566 FAT65544:FAT65566 FKP65544:FKP65566 FUL65544:FUL65566 GEH65544:GEH65566 GOD65544:GOD65566 GXZ65544:GXZ65566 HHV65544:HHV65566 HRR65544:HRR65566 IBN65544:IBN65566 ILJ65544:ILJ65566 IVF65544:IVF65566 JFB65544:JFB65566 JOX65544:JOX65566 JYT65544:JYT65566 KIP65544:KIP65566 KSL65544:KSL65566 LCH65544:LCH65566 LMD65544:LMD65566 LVZ65544:LVZ65566 MFV65544:MFV65566 MPR65544:MPR65566 MZN65544:MZN65566 NJJ65544:NJJ65566 NTF65544:NTF65566 ODB65544:ODB65566 OMX65544:OMX65566 OWT65544:OWT65566 PGP65544:PGP65566 PQL65544:PQL65566 QAH65544:QAH65566 QKD65544:QKD65566 QTZ65544:QTZ65566 RDV65544:RDV65566 RNR65544:RNR65566 RXN65544:RXN65566 SHJ65544:SHJ65566 SRF65544:SRF65566 TBB65544:TBB65566 TKX65544:TKX65566 TUT65544:TUT65566 UEP65544:UEP65566 UOL65544:UOL65566 UYH65544:UYH65566 VID65544:VID65566 VRZ65544:VRZ65566 WBV65544:WBV65566 WLR65544:WLR65566 WVN65544:WVN65566 F131080:F131102 JB131080:JB131102 SX131080:SX131102 ACT131080:ACT131102 AMP131080:AMP131102 AWL131080:AWL131102 BGH131080:BGH131102 BQD131080:BQD131102 BZZ131080:BZZ131102 CJV131080:CJV131102 CTR131080:CTR131102 DDN131080:DDN131102 DNJ131080:DNJ131102 DXF131080:DXF131102 EHB131080:EHB131102 EQX131080:EQX131102 FAT131080:FAT131102 FKP131080:FKP131102 FUL131080:FUL131102 GEH131080:GEH131102 GOD131080:GOD131102 GXZ131080:GXZ131102 HHV131080:HHV131102 HRR131080:HRR131102 IBN131080:IBN131102 ILJ131080:ILJ131102 IVF131080:IVF131102 JFB131080:JFB131102 JOX131080:JOX131102 JYT131080:JYT131102 KIP131080:KIP131102 KSL131080:KSL131102 LCH131080:LCH131102 LMD131080:LMD131102 LVZ131080:LVZ131102 MFV131080:MFV131102 MPR131080:MPR131102 MZN131080:MZN131102 NJJ131080:NJJ131102 NTF131080:NTF131102 ODB131080:ODB131102 OMX131080:OMX131102 OWT131080:OWT131102 PGP131080:PGP131102 PQL131080:PQL131102 QAH131080:QAH131102 QKD131080:QKD131102 QTZ131080:QTZ131102 RDV131080:RDV131102 RNR131080:RNR131102 RXN131080:RXN131102 SHJ131080:SHJ131102 SRF131080:SRF131102 TBB131080:TBB131102 TKX131080:TKX131102 TUT131080:TUT131102 UEP131080:UEP131102 UOL131080:UOL131102 UYH131080:UYH131102 VID131080:VID131102 VRZ131080:VRZ131102 WBV131080:WBV131102 WLR131080:WLR131102 WVN131080:WVN131102 F196616:F196638 JB196616:JB196638 SX196616:SX196638 ACT196616:ACT196638 AMP196616:AMP196638 AWL196616:AWL196638 BGH196616:BGH196638 BQD196616:BQD196638 BZZ196616:BZZ196638 CJV196616:CJV196638 CTR196616:CTR196638 DDN196616:DDN196638 DNJ196616:DNJ196638 DXF196616:DXF196638 EHB196616:EHB196638 EQX196616:EQX196638 FAT196616:FAT196638 FKP196616:FKP196638 FUL196616:FUL196638 GEH196616:GEH196638 GOD196616:GOD196638 GXZ196616:GXZ196638 HHV196616:HHV196638 HRR196616:HRR196638 IBN196616:IBN196638 ILJ196616:ILJ196638 IVF196616:IVF196638 JFB196616:JFB196638 JOX196616:JOX196638 JYT196616:JYT196638 KIP196616:KIP196638 KSL196616:KSL196638 LCH196616:LCH196638 LMD196616:LMD196638 LVZ196616:LVZ196638 MFV196616:MFV196638 MPR196616:MPR196638 MZN196616:MZN196638 NJJ196616:NJJ196638 NTF196616:NTF196638 ODB196616:ODB196638 OMX196616:OMX196638 OWT196616:OWT196638 PGP196616:PGP196638 PQL196616:PQL196638 QAH196616:QAH196638 QKD196616:QKD196638 QTZ196616:QTZ196638 RDV196616:RDV196638 RNR196616:RNR196638 RXN196616:RXN196638 SHJ196616:SHJ196638 SRF196616:SRF196638 TBB196616:TBB196638 TKX196616:TKX196638 TUT196616:TUT196638 UEP196616:UEP196638 UOL196616:UOL196638 UYH196616:UYH196638 VID196616:VID196638 VRZ196616:VRZ196638 WBV196616:WBV196638 WLR196616:WLR196638 WVN196616:WVN196638 F262152:F262174 JB262152:JB262174 SX262152:SX262174 ACT262152:ACT262174 AMP262152:AMP262174 AWL262152:AWL262174 BGH262152:BGH262174 BQD262152:BQD262174 BZZ262152:BZZ262174 CJV262152:CJV262174 CTR262152:CTR262174 DDN262152:DDN262174 DNJ262152:DNJ262174 DXF262152:DXF262174 EHB262152:EHB262174 EQX262152:EQX262174 FAT262152:FAT262174 FKP262152:FKP262174 FUL262152:FUL262174 GEH262152:GEH262174 GOD262152:GOD262174 GXZ262152:GXZ262174 HHV262152:HHV262174 HRR262152:HRR262174 IBN262152:IBN262174 ILJ262152:ILJ262174 IVF262152:IVF262174 JFB262152:JFB262174 JOX262152:JOX262174 JYT262152:JYT262174 KIP262152:KIP262174 KSL262152:KSL262174 LCH262152:LCH262174 LMD262152:LMD262174 LVZ262152:LVZ262174 MFV262152:MFV262174 MPR262152:MPR262174 MZN262152:MZN262174 NJJ262152:NJJ262174 NTF262152:NTF262174 ODB262152:ODB262174 OMX262152:OMX262174 OWT262152:OWT262174 PGP262152:PGP262174 PQL262152:PQL262174 QAH262152:QAH262174 QKD262152:QKD262174 QTZ262152:QTZ262174 RDV262152:RDV262174 RNR262152:RNR262174 RXN262152:RXN262174 SHJ262152:SHJ262174 SRF262152:SRF262174 TBB262152:TBB262174 TKX262152:TKX262174 TUT262152:TUT262174 UEP262152:UEP262174 UOL262152:UOL262174 UYH262152:UYH262174 VID262152:VID262174 VRZ262152:VRZ262174 WBV262152:WBV262174 WLR262152:WLR262174 WVN262152:WVN262174 F327688:F327710 JB327688:JB327710 SX327688:SX327710 ACT327688:ACT327710 AMP327688:AMP327710 AWL327688:AWL327710 BGH327688:BGH327710 BQD327688:BQD327710 BZZ327688:BZZ327710 CJV327688:CJV327710 CTR327688:CTR327710 DDN327688:DDN327710 DNJ327688:DNJ327710 DXF327688:DXF327710 EHB327688:EHB327710 EQX327688:EQX327710 FAT327688:FAT327710 FKP327688:FKP327710 FUL327688:FUL327710 GEH327688:GEH327710 GOD327688:GOD327710 GXZ327688:GXZ327710 HHV327688:HHV327710 HRR327688:HRR327710 IBN327688:IBN327710 ILJ327688:ILJ327710 IVF327688:IVF327710 JFB327688:JFB327710 JOX327688:JOX327710 JYT327688:JYT327710 KIP327688:KIP327710 KSL327688:KSL327710 LCH327688:LCH327710 LMD327688:LMD327710 LVZ327688:LVZ327710 MFV327688:MFV327710 MPR327688:MPR327710 MZN327688:MZN327710 NJJ327688:NJJ327710 NTF327688:NTF327710 ODB327688:ODB327710 OMX327688:OMX327710 OWT327688:OWT327710 PGP327688:PGP327710 PQL327688:PQL327710 QAH327688:QAH327710 QKD327688:QKD327710 QTZ327688:QTZ327710 RDV327688:RDV327710 RNR327688:RNR327710 RXN327688:RXN327710 SHJ327688:SHJ327710 SRF327688:SRF327710 TBB327688:TBB327710 TKX327688:TKX327710 TUT327688:TUT327710 UEP327688:UEP327710 UOL327688:UOL327710 UYH327688:UYH327710 VID327688:VID327710 VRZ327688:VRZ327710 WBV327688:WBV327710 WLR327688:WLR327710 WVN327688:WVN327710 F393224:F393246 JB393224:JB393246 SX393224:SX393246 ACT393224:ACT393246 AMP393224:AMP393246 AWL393224:AWL393246 BGH393224:BGH393246 BQD393224:BQD393246 BZZ393224:BZZ393246 CJV393224:CJV393246 CTR393224:CTR393246 DDN393224:DDN393246 DNJ393224:DNJ393246 DXF393224:DXF393246 EHB393224:EHB393246 EQX393224:EQX393246 FAT393224:FAT393246 FKP393224:FKP393246 FUL393224:FUL393246 GEH393224:GEH393246 GOD393224:GOD393246 GXZ393224:GXZ393246 HHV393224:HHV393246 HRR393224:HRR393246 IBN393224:IBN393246 ILJ393224:ILJ393246 IVF393224:IVF393246 JFB393224:JFB393246 JOX393224:JOX393246 JYT393224:JYT393246 KIP393224:KIP393246 KSL393224:KSL393246 LCH393224:LCH393246 LMD393224:LMD393246 LVZ393224:LVZ393246 MFV393224:MFV393246 MPR393224:MPR393246 MZN393224:MZN393246 NJJ393224:NJJ393246 NTF393224:NTF393246 ODB393224:ODB393246 OMX393224:OMX393246 OWT393224:OWT393246 PGP393224:PGP393246 PQL393224:PQL393246 QAH393224:QAH393246 QKD393224:QKD393246 QTZ393224:QTZ393246 RDV393224:RDV393246 RNR393224:RNR393246 RXN393224:RXN393246 SHJ393224:SHJ393246 SRF393224:SRF393246 TBB393224:TBB393246 TKX393224:TKX393246 TUT393224:TUT393246 UEP393224:UEP393246 UOL393224:UOL393246 UYH393224:UYH393246 VID393224:VID393246 VRZ393224:VRZ393246 WBV393224:WBV393246 WLR393224:WLR393246 WVN393224:WVN393246 F458760:F458782 JB458760:JB458782 SX458760:SX458782 ACT458760:ACT458782 AMP458760:AMP458782 AWL458760:AWL458782 BGH458760:BGH458782 BQD458760:BQD458782 BZZ458760:BZZ458782 CJV458760:CJV458782 CTR458760:CTR458782 DDN458760:DDN458782 DNJ458760:DNJ458782 DXF458760:DXF458782 EHB458760:EHB458782 EQX458760:EQX458782 FAT458760:FAT458782 FKP458760:FKP458782 FUL458760:FUL458782 GEH458760:GEH458782 GOD458760:GOD458782 GXZ458760:GXZ458782 HHV458760:HHV458782 HRR458760:HRR458782 IBN458760:IBN458782 ILJ458760:ILJ458782 IVF458760:IVF458782 JFB458760:JFB458782 JOX458760:JOX458782 JYT458760:JYT458782 KIP458760:KIP458782 KSL458760:KSL458782 LCH458760:LCH458782 LMD458760:LMD458782 LVZ458760:LVZ458782 MFV458760:MFV458782 MPR458760:MPR458782 MZN458760:MZN458782 NJJ458760:NJJ458782 NTF458760:NTF458782 ODB458760:ODB458782 OMX458760:OMX458782 OWT458760:OWT458782 PGP458760:PGP458782 PQL458760:PQL458782 QAH458760:QAH458782 QKD458760:QKD458782 QTZ458760:QTZ458782 RDV458760:RDV458782 RNR458760:RNR458782 RXN458760:RXN458782 SHJ458760:SHJ458782 SRF458760:SRF458782 TBB458760:TBB458782 TKX458760:TKX458782 TUT458760:TUT458782 UEP458760:UEP458782 UOL458760:UOL458782 UYH458760:UYH458782 VID458760:VID458782 VRZ458760:VRZ458782 WBV458760:WBV458782 WLR458760:WLR458782 WVN458760:WVN458782 F524296:F524318 JB524296:JB524318 SX524296:SX524318 ACT524296:ACT524318 AMP524296:AMP524318 AWL524296:AWL524318 BGH524296:BGH524318 BQD524296:BQD524318 BZZ524296:BZZ524318 CJV524296:CJV524318 CTR524296:CTR524318 DDN524296:DDN524318 DNJ524296:DNJ524318 DXF524296:DXF524318 EHB524296:EHB524318 EQX524296:EQX524318 FAT524296:FAT524318 FKP524296:FKP524318 FUL524296:FUL524318 GEH524296:GEH524318 GOD524296:GOD524318 GXZ524296:GXZ524318 HHV524296:HHV524318 HRR524296:HRR524318 IBN524296:IBN524318 ILJ524296:ILJ524318 IVF524296:IVF524318 JFB524296:JFB524318 JOX524296:JOX524318 JYT524296:JYT524318 KIP524296:KIP524318 KSL524296:KSL524318 LCH524296:LCH524318 LMD524296:LMD524318 LVZ524296:LVZ524318 MFV524296:MFV524318 MPR524296:MPR524318 MZN524296:MZN524318 NJJ524296:NJJ524318 NTF524296:NTF524318 ODB524296:ODB524318 OMX524296:OMX524318 OWT524296:OWT524318 PGP524296:PGP524318 PQL524296:PQL524318 QAH524296:QAH524318 QKD524296:QKD524318 QTZ524296:QTZ524318 RDV524296:RDV524318 RNR524296:RNR524318 RXN524296:RXN524318 SHJ524296:SHJ524318 SRF524296:SRF524318 TBB524296:TBB524318 TKX524296:TKX524318 TUT524296:TUT524318 UEP524296:UEP524318 UOL524296:UOL524318 UYH524296:UYH524318 VID524296:VID524318 VRZ524296:VRZ524318 WBV524296:WBV524318 WLR524296:WLR524318 WVN524296:WVN524318 F589832:F589854 JB589832:JB589854 SX589832:SX589854 ACT589832:ACT589854 AMP589832:AMP589854 AWL589832:AWL589854 BGH589832:BGH589854 BQD589832:BQD589854 BZZ589832:BZZ589854 CJV589832:CJV589854 CTR589832:CTR589854 DDN589832:DDN589854 DNJ589832:DNJ589854 DXF589832:DXF589854 EHB589832:EHB589854 EQX589832:EQX589854 FAT589832:FAT589854 FKP589832:FKP589854 FUL589832:FUL589854 GEH589832:GEH589854 GOD589832:GOD589854 GXZ589832:GXZ589854 HHV589832:HHV589854 HRR589832:HRR589854 IBN589832:IBN589854 ILJ589832:ILJ589854 IVF589832:IVF589854 JFB589832:JFB589854 JOX589832:JOX589854 JYT589832:JYT589854 KIP589832:KIP589854 KSL589832:KSL589854 LCH589832:LCH589854 LMD589832:LMD589854 LVZ589832:LVZ589854 MFV589832:MFV589854 MPR589832:MPR589854 MZN589832:MZN589854 NJJ589832:NJJ589854 NTF589832:NTF589854 ODB589832:ODB589854 OMX589832:OMX589854 OWT589832:OWT589854 PGP589832:PGP589854 PQL589832:PQL589854 QAH589832:QAH589854 QKD589832:QKD589854 QTZ589832:QTZ589854 RDV589832:RDV589854 RNR589832:RNR589854 RXN589832:RXN589854 SHJ589832:SHJ589854 SRF589832:SRF589854 TBB589832:TBB589854 TKX589832:TKX589854 TUT589832:TUT589854 UEP589832:UEP589854 UOL589832:UOL589854 UYH589832:UYH589854 VID589832:VID589854 VRZ589832:VRZ589854 WBV589832:WBV589854 WLR589832:WLR589854 WVN589832:WVN589854 F655368:F655390 JB655368:JB655390 SX655368:SX655390 ACT655368:ACT655390 AMP655368:AMP655390 AWL655368:AWL655390 BGH655368:BGH655390 BQD655368:BQD655390 BZZ655368:BZZ655390 CJV655368:CJV655390 CTR655368:CTR655390 DDN655368:DDN655390 DNJ655368:DNJ655390 DXF655368:DXF655390 EHB655368:EHB655390 EQX655368:EQX655390 FAT655368:FAT655390 FKP655368:FKP655390 FUL655368:FUL655390 GEH655368:GEH655390 GOD655368:GOD655390 GXZ655368:GXZ655390 HHV655368:HHV655390 HRR655368:HRR655390 IBN655368:IBN655390 ILJ655368:ILJ655390 IVF655368:IVF655390 JFB655368:JFB655390 JOX655368:JOX655390 JYT655368:JYT655390 KIP655368:KIP655390 KSL655368:KSL655390 LCH655368:LCH655390 LMD655368:LMD655390 LVZ655368:LVZ655390 MFV655368:MFV655390 MPR655368:MPR655390 MZN655368:MZN655390 NJJ655368:NJJ655390 NTF655368:NTF655390 ODB655368:ODB655390 OMX655368:OMX655390 OWT655368:OWT655390 PGP655368:PGP655390 PQL655368:PQL655390 QAH655368:QAH655390 QKD655368:QKD655390 QTZ655368:QTZ655390 RDV655368:RDV655390 RNR655368:RNR655390 RXN655368:RXN655390 SHJ655368:SHJ655390 SRF655368:SRF655390 TBB655368:TBB655390 TKX655368:TKX655390 TUT655368:TUT655390 UEP655368:UEP655390 UOL655368:UOL655390 UYH655368:UYH655390 VID655368:VID655390 VRZ655368:VRZ655390 WBV655368:WBV655390 WLR655368:WLR655390 WVN655368:WVN655390 F720904:F720926 JB720904:JB720926 SX720904:SX720926 ACT720904:ACT720926 AMP720904:AMP720926 AWL720904:AWL720926 BGH720904:BGH720926 BQD720904:BQD720926 BZZ720904:BZZ720926 CJV720904:CJV720926 CTR720904:CTR720926 DDN720904:DDN720926 DNJ720904:DNJ720926 DXF720904:DXF720926 EHB720904:EHB720926 EQX720904:EQX720926 FAT720904:FAT720926 FKP720904:FKP720926 FUL720904:FUL720926 GEH720904:GEH720926 GOD720904:GOD720926 GXZ720904:GXZ720926 HHV720904:HHV720926 HRR720904:HRR720926 IBN720904:IBN720926 ILJ720904:ILJ720926 IVF720904:IVF720926 JFB720904:JFB720926 JOX720904:JOX720926 JYT720904:JYT720926 KIP720904:KIP720926 KSL720904:KSL720926 LCH720904:LCH720926 LMD720904:LMD720926 LVZ720904:LVZ720926 MFV720904:MFV720926 MPR720904:MPR720926 MZN720904:MZN720926 NJJ720904:NJJ720926 NTF720904:NTF720926 ODB720904:ODB720926 OMX720904:OMX720926 OWT720904:OWT720926 PGP720904:PGP720926 PQL720904:PQL720926 QAH720904:QAH720926 QKD720904:QKD720926 QTZ720904:QTZ720926 RDV720904:RDV720926 RNR720904:RNR720926 RXN720904:RXN720926 SHJ720904:SHJ720926 SRF720904:SRF720926 TBB720904:TBB720926 TKX720904:TKX720926 TUT720904:TUT720926 UEP720904:UEP720926 UOL720904:UOL720926 UYH720904:UYH720926 VID720904:VID720926 VRZ720904:VRZ720926 WBV720904:WBV720926 WLR720904:WLR720926 WVN720904:WVN720926 F786440:F786462 JB786440:JB786462 SX786440:SX786462 ACT786440:ACT786462 AMP786440:AMP786462 AWL786440:AWL786462 BGH786440:BGH786462 BQD786440:BQD786462 BZZ786440:BZZ786462 CJV786440:CJV786462 CTR786440:CTR786462 DDN786440:DDN786462 DNJ786440:DNJ786462 DXF786440:DXF786462 EHB786440:EHB786462 EQX786440:EQX786462 FAT786440:FAT786462 FKP786440:FKP786462 FUL786440:FUL786462 GEH786440:GEH786462 GOD786440:GOD786462 GXZ786440:GXZ786462 HHV786440:HHV786462 HRR786440:HRR786462 IBN786440:IBN786462 ILJ786440:ILJ786462 IVF786440:IVF786462 JFB786440:JFB786462 JOX786440:JOX786462 JYT786440:JYT786462 KIP786440:KIP786462 KSL786440:KSL786462 LCH786440:LCH786462 LMD786440:LMD786462 LVZ786440:LVZ786462 MFV786440:MFV786462 MPR786440:MPR786462 MZN786440:MZN786462 NJJ786440:NJJ786462 NTF786440:NTF786462 ODB786440:ODB786462 OMX786440:OMX786462 OWT786440:OWT786462 PGP786440:PGP786462 PQL786440:PQL786462 QAH786440:QAH786462 QKD786440:QKD786462 QTZ786440:QTZ786462 RDV786440:RDV786462 RNR786440:RNR786462 RXN786440:RXN786462 SHJ786440:SHJ786462 SRF786440:SRF786462 TBB786440:TBB786462 TKX786440:TKX786462 TUT786440:TUT786462 UEP786440:UEP786462 UOL786440:UOL786462 UYH786440:UYH786462 VID786440:VID786462 VRZ786440:VRZ786462 WBV786440:WBV786462 WLR786440:WLR786462 WVN786440:WVN786462 F851976:F851998 JB851976:JB851998 SX851976:SX851998 ACT851976:ACT851998 AMP851976:AMP851998 AWL851976:AWL851998 BGH851976:BGH851998 BQD851976:BQD851998 BZZ851976:BZZ851998 CJV851976:CJV851998 CTR851976:CTR851998 DDN851976:DDN851998 DNJ851976:DNJ851998 DXF851976:DXF851998 EHB851976:EHB851998 EQX851976:EQX851998 FAT851976:FAT851998 FKP851976:FKP851998 FUL851976:FUL851998 GEH851976:GEH851998 GOD851976:GOD851998 GXZ851976:GXZ851998 HHV851976:HHV851998 HRR851976:HRR851998 IBN851976:IBN851998 ILJ851976:ILJ851998 IVF851976:IVF851998 JFB851976:JFB851998 JOX851976:JOX851998 JYT851976:JYT851998 KIP851976:KIP851998 KSL851976:KSL851998 LCH851976:LCH851998 LMD851976:LMD851998 LVZ851976:LVZ851998 MFV851976:MFV851998 MPR851976:MPR851998 MZN851976:MZN851998 NJJ851976:NJJ851998 NTF851976:NTF851998 ODB851976:ODB851998 OMX851976:OMX851998 OWT851976:OWT851998 PGP851976:PGP851998 PQL851976:PQL851998 QAH851976:QAH851998 QKD851976:QKD851998 QTZ851976:QTZ851998 RDV851976:RDV851998 RNR851976:RNR851998 RXN851976:RXN851998 SHJ851976:SHJ851998 SRF851976:SRF851998 TBB851976:TBB851998 TKX851976:TKX851998 TUT851976:TUT851998 UEP851976:UEP851998 UOL851976:UOL851998 UYH851976:UYH851998 VID851976:VID851998 VRZ851976:VRZ851998 WBV851976:WBV851998 WLR851976:WLR851998 WVN851976:WVN851998 F917512:F917534 JB917512:JB917534 SX917512:SX917534 ACT917512:ACT917534 AMP917512:AMP917534 AWL917512:AWL917534 BGH917512:BGH917534 BQD917512:BQD917534 BZZ917512:BZZ917534 CJV917512:CJV917534 CTR917512:CTR917534 DDN917512:DDN917534 DNJ917512:DNJ917534 DXF917512:DXF917534 EHB917512:EHB917534 EQX917512:EQX917534 FAT917512:FAT917534 FKP917512:FKP917534 FUL917512:FUL917534 GEH917512:GEH917534 GOD917512:GOD917534 GXZ917512:GXZ917534 HHV917512:HHV917534 HRR917512:HRR917534 IBN917512:IBN917534 ILJ917512:ILJ917534 IVF917512:IVF917534 JFB917512:JFB917534 JOX917512:JOX917534 JYT917512:JYT917534 KIP917512:KIP917534 KSL917512:KSL917534 LCH917512:LCH917534 LMD917512:LMD917534 LVZ917512:LVZ917534 MFV917512:MFV917534 MPR917512:MPR917534 MZN917512:MZN917534 NJJ917512:NJJ917534 NTF917512:NTF917534 ODB917512:ODB917534 OMX917512:OMX917534 OWT917512:OWT917534 PGP917512:PGP917534 PQL917512:PQL917534 QAH917512:QAH917534 QKD917512:QKD917534 QTZ917512:QTZ917534 RDV917512:RDV917534 RNR917512:RNR917534 RXN917512:RXN917534 SHJ917512:SHJ917534 SRF917512:SRF917534 TBB917512:TBB917534 TKX917512:TKX917534 TUT917512:TUT917534 UEP917512:UEP917534 UOL917512:UOL917534 UYH917512:UYH917534 VID917512:VID917534 VRZ917512:VRZ917534 WBV917512:WBV917534 WLR917512:WLR917534 WVN917512:WVN917534 F983048:F983070 JB983048:JB983070 SX983048:SX983070 ACT983048:ACT983070 AMP983048:AMP983070 AWL983048:AWL983070 BGH983048:BGH983070 BQD983048:BQD983070 BZZ983048:BZZ983070 CJV983048:CJV983070 CTR983048:CTR983070 DDN983048:DDN983070 DNJ983048:DNJ983070 DXF983048:DXF983070 EHB983048:EHB983070 EQX983048:EQX983070 FAT983048:FAT983070 FKP983048:FKP983070 FUL983048:FUL983070 GEH983048:GEH983070 GOD983048:GOD983070 GXZ983048:GXZ983070 HHV983048:HHV983070 HRR983048:HRR983070 IBN983048:IBN983070 ILJ983048:ILJ983070 IVF983048:IVF983070 JFB983048:JFB983070 JOX983048:JOX983070 JYT983048:JYT983070 KIP983048:KIP983070 KSL983048:KSL983070 LCH983048:LCH983070 LMD983048:LMD983070 LVZ983048:LVZ983070 MFV983048:MFV983070 MPR983048:MPR983070 MZN983048:MZN983070 NJJ983048:NJJ983070 NTF983048:NTF983070 ODB983048:ODB983070 OMX983048:OMX983070 OWT983048:OWT983070 PGP983048:PGP983070 PQL983048:PQL983070 QAH983048:QAH983070 QKD983048:QKD983070 QTZ983048:QTZ983070 RDV983048:RDV983070 RNR983048:RNR983070 RXN983048:RXN983070 SHJ983048:SHJ983070 SRF983048:SRF983070 TBB983048:TBB983070 TKX983048:TKX983070 TUT983048:TUT983070 UEP983048:UEP983070 UOL983048:UOL983070 UYH983048:UYH983070 VID983048:VID983070 VRZ983048:VRZ983070 WBV983048:WBV983070 WLR983048:WLR983070 WVN983048:WVN983070" xr:uid="{E19BB69E-33CC-4D04-895B-6CB25971F2B5}">
      <formula1>$A$30:$A$34</formula1>
    </dataValidation>
  </dataValidations>
  <pageMargins left="0.75" right="0.75" top="1" bottom="1" header="0.49212598499999999" footer="0.49212598499999999"/>
  <pageSetup paperSize="9"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11</vt:i4>
      </vt:variant>
      <vt:variant>
        <vt:lpstr>Intervalos Nomeados</vt:lpstr>
      </vt:variant>
      <vt:variant>
        <vt:i4>3</vt:i4>
      </vt:variant>
    </vt:vector>
  </HeadingPairs>
  <TitlesOfParts>
    <vt:vector size="14" baseType="lpstr">
      <vt:lpstr>Proposta</vt:lpstr>
      <vt:lpstr>Diagrama de rede-precedência</vt:lpstr>
      <vt:lpstr>Fluxo de Caixa Previsto</vt:lpstr>
      <vt:lpstr>Fluxo de Caixa Realizado</vt:lpstr>
      <vt:lpstr>Status</vt:lpstr>
      <vt:lpstr>Capa</vt:lpstr>
      <vt:lpstr>Identificar</vt:lpstr>
      <vt:lpstr>Qualificar</vt:lpstr>
      <vt:lpstr>Quantificar</vt:lpstr>
      <vt:lpstr>Histórico de evolução(não)</vt:lpstr>
      <vt:lpstr>Sensibilidade ao Risco</vt:lpstr>
      <vt:lpstr>Identificar!Area_de_impressao</vt:lpstr>
      <vt:lpstr>Qualificar!Area_de_impressao</vt:lpstr>
      <vt:lpstr>Quantificar!Area_de_impressao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23025627</dc:creator>
  <cp:lastModifiedBy>Fabrício Nascimento</cp:lastModifiedBy>
  <dcterms:created xsi:type="dcterms:W3CDTF">2025-03-25T01:13:59Z</dcterms:created>
  <dcterms:modified xsi:type="dcterms:W3CDTF">2025-04-23T02:04:00Z</dcterms:modified>
</cp:coreProperties>
</file>